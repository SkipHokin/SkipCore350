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OM" sheetId="1" state="visible" r:id="rId3"/>
    <sheet name="STL Links" sheetId="2" state="visible" r:id="rId4"/>
    <sheet name="Cut 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<sst xmlns="http://schemas.openxmlformats.org/spreadsheetml/2006/main" count="281" uniqueCount="163">
  <si>
    <t xml:space="preserve">Category</t>
  </si>
  <si>
    <t xml:space="preserve">Component</t>
  </si>
  <si>
    <t xml:space="preserve">Quantity</t>
  </si>
  <si>
    <t xml:space="preserve">Size</t>
  </si>
  <si>
    <t xml:space="preserve">Notes</t>
  </si>
  <si>
    <t xml:space="preserve">Unit Cost AUD</t>
  </si>
  <si>
    <t xml:space="preserve">Total AUD</t>
  </si>
  <si>
    <t xml:space="preserve">To buy</t>
  </si>
  <si>
    <t xml:space="preserve">Buy all</t>
  </si>
  <si>
    <t xml:space="preserve">Received</t>
  </si>
  <si>
    <t xml:space="preserve">Supplier</t>
  </si>
  <si>
    <t xml:space="preserve">URL Links</t>
  </si>
  <si>
    <t xml:space="preserve">Frame</t>
  </si>
  <si>
    <t xml:space="preserve">20x40 V-slot</t>
  </si>
  <si>
    <t xml:space="preserve">550mm</t>
  </si>
  <si>
    <t xml:space="preserve">Base/Top Front &amp; Back</t>
  </si>
  <si>
    <t xml:space="preserve">Aliexpress</t>
  </si>
  <si>
    <t xml:space="preserve">2Pcs Openbuilds 2020 V-Slot Aluminum Profile 100mm-550mm Black/Silver Aluminum Extrusion 20x20mm for CNC 3D Printer Parts - AliExpress 13</t>
  </si>
  <si>
    <t xml:space="preserve">460mm</t>
  </si>
  <si>
    <t xml:space="preserve">Base Sides</t>
  </si>
  <si>
    <t xml:space="preserve">Y Axis</t>
  </si>
  <si>
    <t xml:space="preserve">500mm</t>
  </si>
  <si>
    <t xml:space="preserve">Z Verticals</t>
  </si>
  <si>
    <t xml:space="preserve">1pc Black 2020 2020N1 2040 2040N1 2060 2080 4040 4080 20100 V-Slot Aluminum Profile EU standard 3D Printer Track DIY Frame - AliExpress 13</t>
  </si>
  <si>
    <t xml:space="preserve">20x20 V-slot</t>
  </si>
  <si>
    <t xml:space="preserve">430mm</t>
  </si>
  <si>
    <t xml:space="preserve">X Axis</t>
  </si>
  <si>
    <t xml:space="preserve">Top Sides</t>
  </si>
  <si>
    <t xml:space="preserve">427mm</t>
  </si>
  <si>
    <t xml:space="preserve">Bed Support Beam</t>
  </si>
  <si>
    <t xml:space="preserve">365mm</t>
  </si>
  <si>
    <t xml:space="preserve">Motion</t>
  </si>
  <si>
    <t xml:space="preserve">MGN12H Rail</t>
  </si>
  <si>
    <t xml:space="preserve">400mm</t>
  </si>
  <si>
    <t xml:space="preserve">Cnc Table Kit|miniature Linear Guide Rail Kit Mgn7h-mgn15h For Cnc &amp; 3d Printers</t>
  </si>
  <si>
    <t xml:space="preserve">GT2 Pulley 20T</t>
  </si>
  <si>
    <t xml:space="preserve">For X/Y Motors</t>
  </si>
  <si>
    <t xml:space="preserve">GT2 20Teeth 16 Teeth 20 Teeth Bore 5mm/8mm Timing Alumium Pulley Fit For GT2-6mm Open Timing Belt For 3D Printer - AliExpress</t>
  </si>
  <si>
    <t xml:space="preserve">GT2 Idler Pulley</t>
  </si>
  <si>
    <t xml:space="preserve">20TB5W10</t>
  </si>
  <si>
    <t xml:space="preserve">5 x Smooth Idlers for XY need 2</t>
  </si>
  <si>
    <t xml:space="preserve">5/10P GT2 Idler Timing Pulley 16-Tooth 20-Teeth With 3MM or 5MM Bore With Bearings For 3D Printer Parts 2GT Timing Belt 6MM 10MM - AliExpress</t>
  </si>
  <si>
    <t xml:space="preserve">GT2 Idler Pulley with Teeth</t>
  </si>
  <si>
    <t xml:space="preserve">5 x Idlers with teeth for XY need 6</t>
  </si>
  <si>
    <t xml:space="preserve">GT2 9mm Belt</t>
  </si>
  <si>
    <t xml:space="preserve">4m</t>
  </si>
  <si>
    <t xml:space="preserve">Closed Loop Belts</t>
  </si>
  <si>
    <t xml:space="preserve">Trianglelab Gates 2GT belt synchronous belt Timing belt Width 6mm 9mm length 2m 4m 6m wear GT2 resistant for Ender3 cr10 Anet - AliExpress</t>
  </si>
  <si>
    <t xml:space="preserve">NEMA17 Stepper</t>
  </si>
  <si>
    <t xml:space="preserve">42x42x48</t>
  </si>
  <si>
    <t xml:space="preserve">17HE19-2004S1 X/Y Axis</t>
  </si>
  <si>
    <t xml:space="preserve">StepperOnline</t>
  </si>
  <si>
    <t xml:space="preserve">Nema 17 Bipolar 59Ncm(83.55oz.in) 2A 42x42x48mm 4 Wires w/ 1m Cable &amp; Connector - 17HS19-2004S1 | StepperOnline</t>
  </si>
  <si>
    <t xml:space="preserve">T8x2 Leadscrew</t>
  </si>
  <si>
    <t xml:space="preserve">Z Axis Motion</t>
  </si>
  <si>
    <t xml:space="preserve">T8 Lead Screw With nut OD 8mm Lead 2mm Pitch 2mm 100mm 200mm 300mm 400mm 500mm Lead Screw With Brass Nut Reprap 3D Printer Parts - AliExpress 7</t>
  </si>
  <si>
    <t xml:space="preserve">Brass T8 Nut</t>
  </si>
  <si>
    <t xml:space="preserve">4 x Leadscrew Nut</t>
  </si>
  <si>
    <t xml:space="preserve">Included above</t>
  </si>
  <si>
    <t xml:space="preserve">1/2/4/10 PCS T8 LeadScrew 2mm Pitch 4 Start 8mm Helical Pitch Brass Nut for 3D Printer Z Axis T8x8 Tr8x8 Thread Screw Rod Nut - AliExpress</t>
  </si>
  <si>
    <t xml:space="preserve">Rigid Coupler 5x8mm</t>
  </si>
  <si>
    <t xml:space="preserve">5 x 8 Motor to Screw</t>
  </si>
  <si>
    <t xml:space="preserve">D20L25/30/35 3D Printer Part Lead Screw Coupler 1PC Rigid Coupling 8x10 6x8 5x8mm Motor Connector Motor Shaft Coupling - AliExpress</t>
  </si>
  <si>
    <t xml:space="preserve">42x42x39</t>
  </si>
  <si>
    <t xml:space="preserve">3 x for Z Axis 17HE15-1504S</t>
  </si>
  <si>
    <t xml:space="preserve">3pcs E Series Nema 17 Bipolar 42Ncm(59.49oz.in) 1.5A 42x42x38mm 4 Wires w/ 1m Cable &amp; Connector - 3-17HE15-1504S | StepperOnline</t>
  </si>
  <si>
    <t xml:space="preserve">Hotend</t>
  </si>
  <si>
    <t xml:space="preserve">Rapido UHF</t>
  </si>
  <si>
    <t xml:space="preserve">High Flow Hotend</t>
  </si>
  <si>
    <t xml:space="preserve">E3d Ceramic</t>
  </si>
  <si>
    <t xml:space="preserve">Trianglelab NEW V2 Phaetus Rapido Hotend 2.0 HF 104NT PT1000 UHF High Speed High Effcient Heating Unit For VORON 3D PRINTER - AliExpress</t>
  </si>
  <si>
    <t xml:space="preserve">NEMA17 Stepper for Extruder</t>
  </si>
  <si>
    <t xml:space="preserve">For Extruder 17HE15-1504S</t>
  </si>
  <si>
    <t xml:space="preserve">E Series Nema 17 Bipolar 42Ncm(59.49oz.in) 1.5A 42x42x38mm 4 Wires w/ 1m Cable &amp; Connector - 17HE15-1504S | StepperOnline</t>
  </si>
  <si>
    <t xml:space="preserve">BMG Clone Extruder</t>
  </si>
  <si>
    <t xml:space="preserve">Bowden Setup</t>
  </si>
  <si>
    <t xml:space="preserve">3D Printer Upgraded Aluminum MK8 Extruder Drive Feed Kit for Ender 3/3 Pro/3 V2, Ender 5/5 Pro/5 Plus, CR-10/10S - AliExpress</t>
  </si>
  <si>
    <t xml:space="preserve">PTFE Tubing</t>
  </si>
  <si>
    <t xml:space="preserve">Bowden Tube</t>
  </si>
  <si>
    <t xml:space="preserve">Creality 3d Capricorn Bowden Ptfe Tubing Xs Serie Blue 1m Tube Quick Fitting 1pcs Pneumatic Fitting Push 1.75mm Filament - 3d Printer Parts &amp; Accessories - AliExpress</t>
  </si>
  <si>
    <t xml:space="preserve">5015 Blower Fan</t>
  </si>
  <si>
    <t xml:space="preserve">Part Cooling</t>
  </si>
  <si>
    <t xml:space="preserve">Gdstime DC 5V 12V 24V 50x50x15mm Dual Ball Cooler 2Pin USB Radial Fan 5015 Turbo Blower 5cm 50mm Radiator for 3D Printer Cooling - AliExpress</t>
  </si>
  <si>
    <t xml:space="preserve">40mm Fan</t>
  </si>
  <si>
    <t xml:space="preserve">Hotend Cooling</t>
  </si>
  <si>
    <t xml:space="preserve">4010 12025 8010 30mm dc 5V 12V 24V Cooling Fan Brushless Motor Case Quiet 40MM 50MM 60MM 70MM 80MM 90MM 120MM for 3D print 2PIN - AliExpress</t>
  </si>
  <si>
    <t xml:space="preserve">Electronics</t>
  </si>
  <si>
    <t xml:space="preserve">BTT Manta M8P mainboard
includes CB1 + 8 x TMC2209</t>
  </si>
  <si>
    <t xml:space="preserve">Controller</t>
  </si>
  <si>
    <t xml:space="preserve">BIGTREETECH Manta M8P V2.0 Motherboard STM32H723ZE 32bit for Klipper Raspberry Pi For Voron V0 Ender 3 3D Printer Control Board - AliExpress 7</t>
  </si>
  <si>
    <t xml:space="preserve">24V PSU 600W</t>
  </si>
  <si>
    <t xml:space="preserve">Power Supply</t>
  </si>
  <si>
    <t xml:space="preserve">Original Mean Well RS-15/25 LRS-35/50/100/150/200/350/450/600 Series Meanwell 3.3V 5V 12V 15V 24V 36V 48V Switching Power Supply - AliExpress</t>
  </si>
  <si>
    <t xml:space="preserve">350x350 Bed</t>
  </si>
  <si>
    <t xml:space="preserve">Aluminium</t>
  </si>
  <si>
    <t xml:space="preserve">Voron 0/0.1/0.2/2.4/Trident 6061 Aluminum Alloy Plate 120*120*6mm 350*350*8mm for Voron 3D Printer Accessories Printing Platform - AliExpress</t>
  </si>
  <si>
    <t xml:space="preserve">350x350 Heated Bed</t>
  </si>
  <si>
    <t xml:space="preserve">Bed Heater 340 340</t>
  </si>
  <si>
    <t xml:space="preserve">Fermio</t>
  </si>
  <si>
    <t xml:space="preserve">V1/V2/VT Silicone Bed Heater Mat by Fermio Labs - 340x340mm - Unique Prints</t>
  </si>
  <si>
    <t xml:space="preserve">SSR</t>
  </si>
  <si>
    <t xml:space="preserve">For AC Bed Heater (if used)</t>
  </si>
  <si>
    <t xml:space="preserve">New Authentic Original OMRON Solid State Relay G3NB-205B-1 210B-1 220B-1 225B-1 240B-1 275B-1 5A</t>
  </si>
  <si>
    <t xml:space="preserve">Thermistor 100K</t>
  </si>
  <si>
    <t xml:space="preserve">Bed/Hotend Sensing</t>
  </si>
  <si>
    <t xml:space="preserve">Wiring Kit</t>
  </si>
  <si>
    <t xml:space="preserve">Power &amp; Signal Wiring</t>
  </si>
  <si>
    <t xml:space="preserve">Various</t>
  </si>
  <si>
    <t xml:space="preserve">Misc</t>
  </si>
  <si>
    <t xml:space="preserve">Build Surface</t>
  </si>
  <si>
    <t xml:space="preserve">350x350mm</t>
  </si>
  <si>
    <t xml:space="preserve">PEI/Glass/Magnetic Plate</t>
  </si>
  <si>
    <t xml:space="preserve">Magnetic PEI Powder Sheet 235/250/310/350/220mm Double Sided Spring Steel Sheet Textured For Ender 3 CR10 P1P SW-X1 Build Plate - AliExpress 7</t>
  </si>
  <si>
    <t xml:space="preserve">Cable Chains</t>
  </si>
  <si>
    <t xml:space="preserve">X and Z Axes</t>
  </si>
  <si>
    <t xml:space="preserve">Silicone Spacers</t>
  </si>
  <si>
    <t xml:space="preserve">Bed Mounting</t>
  </si>
  <si>
    <t xml:space="preserve">1-6set Hot Bed Leveling Column Silicone Solid Spacer Platform Leveler For CR10/ CR10S CR-X Ende-3 ELEGOO Kobra 3D Printer Parts - AliExpress 7</t>
  </si>
  <si>
    <t xml:space="preserve">Printed Parts</t>
  </si>
  <si>
    <t xml:space="preserve">Brackets, Mounts, Carriages</t>
  </si>
  <si>
    <t xml:space="preserve">Enclosure Panels</t>
  </si>
  <si>
    <t xml:space="preserve">6 mm Acrylic 6 sheets 600x600</t>
  </si>
  <si>
    <t xml:space="preserve">STL Name</t>
  </si>
  <si>
    <t xml:space="preserve">STL URL</t>
  </si>
  <si>
    <t xml:space="preserve">XY Joint Bracket</t>
  </si>
  <si>
    <t xml:space="preserve">XY_Joint_Bracket_v1.stl</t>
  </si>
  <si>
    <t xml:space="preserve">https://example.com/xy_joint_bracket_v1</t>
  </si>
  <si>
    <t xml:space="preserve">Print in PETG, 4 walls</t>
  </si>
  <si>
    <t xml:space="preserve">Belt Tensioner</t>
  </si>
  <si>
    <t xml:space="preserve">Belt_Tensioner_v2.stl</t>
  </si>
  <si>
    <t xml:space="preserve">https://example.com/belt_tensioner_v2</t>
  </si>
  <si>
    <t xml:space="preserve">Print in ABS for strength</t>
  </si>
  <si>
    <t xml:space="preserve">SSR Mount</t>
  </si>
  <si>
    <t xml:space="preserve">SSR_Mount_v1.stl</t>
  </si>
  <si>
    <t xml:space="preserve">https://example.com/ssr_mount_v1</t>
  </si>
  <si>
    <t xml:space="preserve">Print in PLA, optional</t>
  </si>
  <si>
    <t xml:space="preserve">Lrngth</t>
  </si>
  <si>
    <t xml:space="preserve">MMs</t>
  </si>
  <si>
    <t xml:space="preserve">Cut from Code</t>
  </si>
  <si>
    <t xml:space="preserve">Verticals</t>
  </si>
  <si>
    <t xml:space="preserve">Looks like I needed 4</t>
  </si>
  <si>
    <t xml:space="preserve">Mid Upper Rear</t>
  </si>
  <si>
    <t xml:space="preserve">Stock</t>
  </si>
  <si>
    <t xml:space="preserve">Cut Component from Stock</t>
  </si>
  <si>
    <t xml:space="preserve">Code</t>
  </si>
  <si>
    <t xml:space="preserve">Length (mm)</t>
  </si>
  <si>
    <t xml:space="preserve">Qty</t>
  </si>
  <si>
    <t xml:space="preserve">Left Over</t>
  </si>
  <si>
    <t xml:space="preserve">Colour</t>
  </si>
  <si>
    <t xml:space="preserve">A</t>
  </si>
  <si>
    <t xml:space="preserve">Silver</t>
  </si>
  <si>
    <t xml:space="preserve">B</t>
  </si>
  <si>
    <t xml:space="preserve">C</t>
  </si>
  <si>
    <t xml:space="preserve">D</t>
  </si>
  <si>
    <t xml:space="preserve">E</t>
  </si>
  <si>
    <t xml:space="preserve">Black</t>
  </si>
  <si>
    <t xml:space="preserve">F</t>
  </si>
  <si>
    <t xml:space="preserve">G</t>
  </si>
  <si>
    <t xml:space="preserve">H</t>
  </si>
  <si>
    <t xml:space="preserve">Count</t>
  </si>
  <si>
    <t xml:space="preserve">Length</t>
  </si>
  <si>
    <t xml:space="preserve">Cut Total</t>
  </si>
  <si>
    <t xml:space="preserve">Required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</si>
</sst>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\$* #,##0.00_-;&quot;-$&quot;* #,##0.00_-;_-\$* \-??_-;_-@"/>
    <numFmt numFmtId="166" formatCode="_-* #,##0_-;\-* #,##0_-;_-* \-??_-;_-@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b val="true"/>
      <sz val="16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vi.aliexpress.com/item/1005007254304843.html?src=bing&amp;aff_short_key=UneMJZVf&amp;aff_platform=true&amp;isdl=y&amp;albch=shopping&amp;acnt=135105396&amp;isdl=y&amp;albcp=555403206&amp;albag=1296325429203233&amp;slnk=&amp;trgt=pla-2332820077152878&amp;plac=&amp;crea=81020398992105&amp;netw=o&amp;devi" TargetMode="External"/><Relationship Id="rId2" Type="http://schemas.openxmlformats.org/officeDocument/2006/relationships/hyperlink" Target="https://vi.aliexpress.com/item/1005007254304843.html?src=bing&amp;aff_short_key=UneMJZVf&amp;aff_platform=true&amp;isdl=y&amp;albch=shopping&amp;acnt=135105396&amp;isdl=y&amp;albcp=555403206&amp;albag=1296325429203233&amp;slnk=&amp;trgt=pla-2332820077152878&amp;plac=&amp;crea=81020398992105&amp;netw=o&amp;devi" TargetMode="External"/><Relationship Id="rId3" Type="http://schemas.openxmlformats.org/officeDocument/2006/relationships/hyperlink" Target="https://vi.aliexpress.com/item/1005004679698586.html?spm=a2g0o.detail.pcDetailTopMoreOtherSeller.1.691aIAMqIAMqoI&amp;gps-id=pcDetailTopMoreOtherSeller&amp;scm=1007.14452.398466.0&amp;scm_id=1007.14452.398466.0&amp;scm-url=1007.14452.398466.0&amp;pvid=cd8c7732-453f-4bfc-ba05" TargetMode="External"/><Relationship Id="rId4" Type="http://schemas.openxmlformats.org/officeDocument/2006/relationships/hyperlink" Target="https://vi.aliexpress.com/item/1005004679698586.html?spm=a2g0o.detail.pcDetailTopMoreOtherSeller.1.29c9TKoOTKoOOG&amp;gps-id=pcDetailTopMoreOtherSeller&amp;scm=1007.14452.398466.0&amp;scm_id=1007.14452.398466.0&amp;scm-url=1007.14452.398466.0&amp;pvid=c0206bf1-7e3c-4429-9125" TargetMode="External"/><Relationship Id="rId5" Type="http://schemas.openxmlformats.org/officeDocument/2006/relationships/hyperlink" Target="https://vi.aliexpress.com/item/1000007480470.html?spm=a2g0o.detail.pcDetailBottomMoreOtherSeller.2.45e5vt9Ivt9I3g&amp;gps-id=pcDetailBottomMoreOtherSeller&amp;scm=1007.14452.398466.0&amp;scm_id=1007.14452.398466.0&amp;scm-url=1007.14452.398466.0&amp;pvid=431d3c6f-7d1b-49cd-9" TargetMode="External"/><Relationship Id="rId6" Type="http://schemas.openxmlformats.org/officeDocument/2006/relationships/hyperlink" Target="https://vi.aliexpress.com/item/32781681772.html?spm=a2g0o.productlist.main.4.4d6065ffSgND9p&amp;algo_pvid=f0e6d36c-2e07-4746-8637-58293e38ec05&amp;algo_exp_id=f0e6d36c-2e07-4746-8637-58293e38ec05-3&amp;pdp_ext_f=%7B%22order%22%3A%221596%22%2C%22eval%22%3A%221%22%7D&amp;p" TargetMode="External"/><Relationship Id="rId7" Type="http://schemas.openxmlformats.org/officeDocument/2006/relationships/hyperlink" Target="https://vi.aliexpress.com/item/1005006489425002.html?spm=a2g0o.productlist.main.1.27e3460dDYHj57&amp;algo_pvid=af42d457-fa5f-4cc2-9808-742fce8d1997&amp;algo_exp_id=af42d457-fa5f-4cc2-9808-742fce8d1997-0&amp;pdp_ext_f=%7B%22order%22%3A%22119%22%2C%22eval%22%3A%221%22%" TargetMode="External"/><Relationship Id="rId8" Type="http://schemas.openxmlformats.org/officeDocument/2006/relationships/hyperlink" Target="https://vi.aliexpress.com/item/1005006489425002.html?spm=a2g0o.productlist.main.1.27e3460dDYHj57&amp;algo_pvid=af42d457-fa5f-4cc2-9808-742fce8d1997&amp;algo_exp_id=af42d457-fa5f-4cc2-9808-742fce8d1997-0&amp;pdp_ext_f=%7B%22order%22%3A%22119%22%2C%22eval%22%3A%221%22%" TargetMode="External"/><Relationship Id="rId9" Type="http://schemas.openxmlformats.org/officeDocument/2006/relationships/hyperlink" Target="https://vi.aliexpress.com/item/1005007481359010.html?spm=a2g0o.productlist.main.5.29e85f4eWmeDEL&amp;algo_pvid=c8700189-a96e-4424-bed2-e78fae4c0441&amp;algo_exp_id=c8700189-a96e-4424-bed2-e78fae4c0441-4&amp;pdp_ext_f=%7B%22order%22%3A%2215%22%2C%22eval%22%3A%221%22%2" TargetMode="External"/><Relationship Id="rId10" Type="http://schemas.openxmlformats.org/officeDocument/2006/relationships/hyperlink" Target="https://www.omc-stepperonline.com/nema-17-bipolar-59ncm-84oz-in-2a-42x48mm-4-wires-w-1m-cable-connector-17hs19-2004s1?search=17HE19-2004S1" TargetMode="External"/><Relationship Id="rId11" Type="http://schemas.openxmlformats.org/officeDocument/2006/relationships/hyperlink" Target="https://vi.aliexpress.com/item/1005007457419235.html?spm=a2g0o.productlist.main.8.67e145afBFYSj1&amp;algo_pvid=155b64f1-9802-4cd2-ad29-fc4d571987c5&amp;algo_exp_id=155b64f1-9802-4cd2-ad29-fc4d571987c5-7&amp;pdp_ext_f=%7B%22order%22%3A%221169%22%2C%22eval%22%3A%221%22" TargetMode="External"/><Relationship Id="rId12" Type="http://schemas.openxmlformats.org/officeDocument/2006/relationships/hyperlink" Target="https://vi.aliexpress.com/item/1005008658088705.html?spm=a2g0o.productlist.main.1.67e145afBFYSj1&amp;algo_pvid=155b64f1-9802-4cd2-ad29-fc4d571987c5&amp;algo_exp_id=155b64f1-9802-4cd2-ad29-fc4d571987c5-0&amp;pdp_ext_f=%7B%22order%22%3A%2214%22%2C%22eval%22%3A%221%22%2" TargetMode="External"/><Relationship Id="rId13" Type="http://schemas.openxmlformats.org/officeDocument/2006/relationships/hyperlink" Target="https://vi.aliexpress.com/item/1005006218903688.html?spm=a2g0o.productlist.main.25.1d0e1aa72zxPPm&amp;algo_pvid=5dff82ef-91a2-4bce-a8a5-c7230fdfd040&amp;algo_exp_id=5dff82ef-91a2-4bce-a8a5-c7230fdfd040-24&amp;pdp_ext_f=%7B%22order%22%3A%2210%22%2C%22eval%22%3A%221%22" TargetMode="External"/><Relationship Id="rId14" Type="http://schemas.openxmlformats.org/officeDocument/2006/relationships/hyperlink" Target="https://www.omc-stepperonline.com/3-pcs-e-series-nema-17-bipolar-42ncm-59-49oz-in-1-5a-42x42x38mm-4-wires-w-1m-cable-connector-3-17he15-1504s" TargetMode="External"/><Relationship Id="rId15" Type="http://schemas.openxmlformats.org/officeDocument/2006/relationships/hyperlink" Target="https://vi.aliexpress.com/item/1005006870064580.html?spm=a2g0o.productlist.main.13.6d072d85Q75Smt&amp;algo_pvid=ba0d173f-68dc-4200-ab03-d51e7f81966b&amp;algo_exp_id=ba0d173f-68dc-4200-ab03-d51e7f81966b-12&amp;pdp_ext_f=%7B%22order%22%3A%22354%22%2C%22eval%22%3A%221%2" TargetMode="External"/><Relationship Id="rId16" Type="http://schemas.openxmlformats.org/officeDocument/2006/relationships/hyperlink" Target="https://www.omc-stepperonline.com/e-series-nema-17-bipolar-42ncm-59-49oz-in-1-5a-42x42x38mm-4-wires-w-1m-cable-connector-17he15-1504s" TargetMode="External"/><Relationship Id="rId17" Type="http://schemas.openxmlformats.org/officeDocument/2006/relationships/hyperlink" Target="https://vi.aliexpress.com/item/1005004923874649.html?spm=a2g0o.productlist.main.1.703c36f7jIMylG&amp;algo_pvid=bcd70090-8cf7-4372-a3bd-6f330b6c92b8&amp;algo_exp_id=bcd70090-8cf7-4372-a3bd-6f330b6c92b8-0&amp;pdp_ext_f=%7B%22order%22%3A%22524%22%2C%22eval%22%3A%221%22%" TargetMode="External"/><Relationship Id="rId18" Type="http://schemas.openxmlformats.org/officeDocument/2006/relationships/hyperlink" Target="https://vi.aliexpress.com/item/1005004860520337.html?spm=a2g0o.productlist.main.1.1e673c25dQQUcg&amp;algo_pvid=f2925108-d67d-4f8b-a7f4-e1a23b531aa8&amp;algo_exp_id=f2925108-d67d-4f8b-a7f4-e1a23b531aa8-0&amp;pdp_ext_f=%7B%22order%22%3A%22395%22%2C%22eval%22%3A%221%22%" TargetMode="External"/><Relationship Id="rId19" Type="http://schemas.openxmlformats.org/officeDocument/2006/relationships/hyperlink" Target="https://vi.aliexpress.com/item/1005007606844263.html?spm=a2g0o.productlist.main.1.66a44be5WGOzGE&amp;algo_pvid=9ac62262-9fc4-45e0-9b15-abefae003532&amp;algo_exp_id=9ac62262-9fc4-45e0-9b15-abefae003532-0&amp;pdp_ext_f=%7B%22order%22%3A%22918%22%2C%22eval%22%3A%221%22%" TargetMode="External"/><Relationship Id="rId20" Type="http://schemas.openxmlformats.org/officeDocument/2006/relationships/hyperlink" Target="https://vi.aliexpress.com/item/1005006306536871.html?spm=a2g0o.productlist.main.1.7fb5380e0cThUT&amp;algo_pvid=385ad051-238b-491d-ae16-7637be6e5835&amp;algo_exp_id=385ad051-238b-491d-ae16-7637be6e5835-0&amp;pdp_ext_f=%7B%22order%22%3A%225874%22%2C%22eval%22%3A%221%22" TargetMode="External"/><Relationship Id="rId21" Type="http://schemas.openxmlformats.org/officeDocument/2006/relationships/hyperlink" Target="https://vi.aliexpress.com/item/1005006344900911.html?spm=a2g0o.productlist.main.8.2ce3337bXdhW7w&amp;algo_pvid=e3e37eab-d00b-41ec-bd2e-ebed384503ae&amp;algo_exp_id=e3e37eab-d00b-41ec-bd2e-ebed384503ae-7&amp;pdp_ext_f=%7B%22order%22%3A%22160%22%2C%22eval%22%3A%221%22%" TargetMode="External"/><Relationship Id="rId22" Type="http://schemas.openxmlformats.org/officeDocument/2006/relationships/hyperlink" Target="https://vi.aliexpress.com/item/1005006092154615.html?spm=a2g0o.productlist.main.1.494e1e6bvvaRC0&amp;algo_pvid=2145eb97-6137-4c5f-b7a3-cb441a275d93&amp;algo_exp_id=2145eb97-6137-4c5f-b7a3-cb441a275d93-0&amp;pdp_ext_f=%7B%22order%22%3A%221016%22%2C%22eval%22%3A%221%22" TargetMode="External"/><Relationship Id="rId23" Type="http://schemas.openxmlformats.org/officeDocument/2006/relationships/hyperlink" Target="https://vi.aliexpress.com/item/1005004428776917.html?spm=a2g0o.productlist.main.3.3ef3da59ra9jn5&amp;algo_pvid=694032a5-a88a-450c-a0d6-c51e0f1a4322&amp;algo_exp_id=694032a5-a88a-450c-a0d6-c51e0f1a4322-2&amp;pdp_ext_f=%7B%22order%22%3A%2240%22%2C%22eval%22%3A%221%22%2" TargetMode="External"/><Relationship Id="rId24" Type="http://schemas.openxmlformats.org/officeDocument/2006/relationships/hyperlink" Target="https://uniqueprints.shop/shop/buildplate/v1-v2-vt-silicone-bed-heater-mat-by-fermio-labs-340x340mm/?utm_source=chatgpt.com" TargetMode="External"/><Relationship Id="rId25" Type="http://schemas.openxmlformats.org/officeDocument/2006/relationships/hyperlink" Target="https://vi.aliexpress.com/item/1005005225476958.html?spm=a2g0o.productlist.main.1.7ef02d78aLyAAW&amp;algo_pvid=21d2a569-6148-4d40-af45-b72c6c88c9ef&amp;algo_exp_id=21d2a569-6148-4d40-af45-b72c6c88c9ef-0&amp;pdp_ext_f=%7B%22order%22%3A%2246%22%2C%22eval%22%3A%221%22%2" TargetMode="External"/><Relationship Id="rId26" Type="http://schemas.openxmlformats.org/officeDocument/2006/relationships/hyperlink" Target="https://vi.aliexpress.com/item/1005005569535639.html?spm=a2g0o.productlist.main.1.5dc24c0575rnDy&amp;algo_pvid=304d662d-6170-4662-b212-9967c4057b7d&amp;algo_exp_id=304d662d-6170-4662-b212-9967c4057b7d-0&amp;pdp_ext_f=%7B%22order%22%3A%222656%22%2C%22eval%22%3A%221%22" TargetMode="External"/><Relationship Id="rId27" Type="http://schemas.openxmlformats.org/officeDocument/2006/relationships/hyperlink" Target="https://vi.aliexpress.com/item/1005007045883147.html?spm=a2g0o.detail.pcDetailBottomMoreOtherSeller.13.1127PIqfPIqfeI&amp;gps-id=pcDetailBottomMoreOtherSeller&amp;scm=1007.40196.439370.0&amp;scm_id=1007.40196.439370.0&amp;scm-url=1007.40196.439370.0&amp;pvid=26ca6d9b-eb24-40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xy_joint_bracket_v1" TargetMode="External"/><Relationship Id="rId2" Type="http://schemas.openxmlformats.org/officeDocument/2006/relationships/hyperlink" Target="https://example.com/belt_tensioner_v2" TargetMode="External"/><Relationship Id="rId3" Type="http://schemas.openxmlformats.org/officeDocument/2006/relationships/hyperlink" Target="https://example.com/ssr_mount_v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29.14"/>
    <col collapsed="false" customWidth="true" hidden="false" outlineLevel="0" max="3" min="3" style="1" width="8.71"/>
    <col collapsed="false" customWidth="true" hidden="false" outlineLevel="0" max="4" min="4" style="1" width="11.43"/>
    <col collapsed="false" customWidth="true" hidden="false" outlineLevel="0" max="5" min="5" style="1" width="25.85"/>
    <col collapsed="false" customWidth="true" hidden="false" outlineLevel="0" max="6" min="6" style="1" width="13.86"/>
    <col collapsed="false" customWidth="true" hidden="false" outlineLevel="0" max="7" min="7" style="1" width="10"/>
    <col collapsed="false" customWidth="true" hidden="false" outlineLevel="0" max="10" min="8" style="1" width="10.57"/>
    <col collapsed="false" customWidth="true" hidden="false" outlineLevel="0" max="11" min="11" style="1" width="14.71"/>
    <col collapsed="false" customWidth="true" hidden="false" outlineLevel="0" max="12" min="12" style="1" width="153"/>
    <col collapsed="false" customWidth="true" hidden="false" outlineLevel="0" max="26" min="13" style="1" width="8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3" t="n">
        <v>4</v>
      </c>
      <c r="D2" s="3" t="s">
        <v>14</v>
      </c>
      <c r="E2" s="3" t="s">
        <v>15</v>
      </c>
      <c r="F2" s="4" t="n">
        <v>26.79</v>
      </c>
      <c r="G2" s="4" t="n">
        <f aca="false">F2*C2</f>
        <v>107.16</v>
      </c>
      <c r="H2" s="4" t="n">
        <v>0</v>
      </c>
      <c r="I2" s="4" t="n">
        <f aca="false">G2</f>
        <v>107.16</v>
      </c>
      <c r="J2" s="5"/>
      <c r="K2" s="3" t="s">
        <v>16</v>
      </c>
      <c r="L2" s="6" t="s">
        <v>17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n">
        <v>2</v>
      </c>
      <c r="D3" s="3" t="s">
        <v>18</v>
      </c>
      <c r="E3" s="3" t="s">
        <v>19</v>
      </c>
      <c r="F3" s="4" t="n">
        <v>21.79</v>
      </c>
      <c r="G3" s="4" t="n">
        <f aca="false">F3*C3</f>
        <v>43.58</v>
      </c>
      <c r="H3" s="4" t="n">
        <v>0</v>
      </c>
      <c r="I3" s="4" t="n">
        <f aca="false">G3</f>
        <v>43.58</v>
      </c>
      <c r="J3" s="5"/>
      <c r="K3" s="3" t="s">
        <v>16</v>
      </c>
      <c r="L3" s="6" t="s">
        <v>17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n">
        <v>2</v>
      </c>
      <c r="D4" s="3" t="s">
        <v>18</v>
      </c>
      <c r="E4" s="3" t="s">
        <v>20</v>
      </c>
      <c r="F4" s="4"/>
      <c r="G4" s="4"/>
      <c r="H4" s="4"/>
      <c r="I4" s="4"/>
      <c r="J4" s="5"/>
      <c r="K4" s="3"/>
      <c r="L4" s="6"/>
    </row>
    <row r="5" customFormat="false" ht="15" hidden="false" customHeight="false" outlineLevel="0" collapsed="false">
      <c r="A5" s="3" t="s">
        <v>12</v>
      </c>
      <c r="B5" s="3" t="s">
        <v>13</v>
      </c>
      <c r="C5" s="3" t="n">
        <v>4</v>
      </c>
      <c r="D5" s="3" t="s">
        <v>21</v>
      </c>
      <c r="E5" s="3" t="s">
        <v>22</v>
      </c>
      <c r="F5" s="4" t="n">
        <v>12.28</v>
      </c>
      <c r="G5" s="4" t="n">
        <f aca="false">F5*C5</f>
        <v>49.12</v>
      </c>
      <c r="H5" s="4" t="n">
        <v>0</v>
      </c>
      <c r="I5" s="4" t="n">
        <f aca="false">G5</f>
        <v>49.12</v>
      </c>
      <c r="J5" s="5"/>
      <c r="K5" s="3" t="s">
        <v>16</v>
      </c>
      <c r="L5" s="6" t="s">
        <v>23</v>
      </c>
    </row>
    <row r="6" customFormat="false" ht="15" hidden="false" customHeight="false" outlineLevel="0" collapsed="false">
      <c r="A6" s="3" t="s">
        <v>12</v>
      </c>
      <c r="B6" s="3" t="s">
        <v>24</v>
      </c>
      <c r="C6" s="3" t="n">
        <v>1</v>
      </c>
      <c r="D6" s="3" t="s">
        <v>25</v>
      </c>
      <c r="E6" s="3" t="s">
        <v>26</v>
      </c>
      <c r="F6" s="4"/>
      <c r="G6" s="4"/>
      <c r="H6" s="4"/>
      <c r="I6" s="4"/>
      <c r="J6" s="5"/>
      <c r="K6" s="3"/>
      <c r="L6" s="6"/>
    </row>
    <row r="7" customFormat="false" ht="15" hidden="false" customHeight="false" outlineLevel="0" collapsed="false">
      <c r="A7" s="3" t="s">
        <v>12</v>
      </c>
      <c r="B7" s="3" t="s">
        <v>24</v>
      </c>
      <c r="C7" s="3" t="n">
        <v>2</v>
      </c>
      <c r="D7" s="3" t="s">
        <v>18</v>
      </c>
      <c r="E7" s="3" t="s">
        <v>27</v>
      </c>
      <c r="F7" s="4"/>
      <c r="G7" s="4"/>
      <c r="H7" s="4"/>
      <c r="I7" s="4"/>
      <c r="J7" s="5"/>
      <c r="K7" s="3"/>
      <c r="L7" s="6"/>
    </row>
    <row r="8" customFormat="false" ht="15" hidden="false" customHeight="false" outlineLevel="0" collapsed="false">
      <c r="A8" s="3" t="s">
        <v>12</v>
      </c>
      <c r="B8" s="3" t="s">
        <v>24</v>
      </c>
      <c r="C8" s="3" t="n">
        <v>1</v>
      </c>
      <c r="D8" s="3" t="s">
        <v>28</v>
      </c>
      <c r="E8" s="3" t="s">
        <v>29</v>
      </c>
      <c r="F8" s="4" t="n">
        <v>10.54</v>
      </c>
      <c r="G8" s="4" t="n">
        <f aca="false">F8*C8</f>
        <v>10.54</v>
      </c>
      <c r="H8" s="4" t="n">
        <v>0</v>
      </c>
      <c r="I8" s="4" t="n">
        <f aca="false">G8</f>
        <v>10.54</v>
      </c>
      <c r="J8" s="5"/>
      <c r="K8" s="3" t="s">
        <v>16</v>
      </c>
      <c r="L8" s="6" t="s">
        <v>23</v>
      </c>
    </row>
    <row r="9" customFormat="false" ht="15" hidden="false" customHeight="false" outlineLevel="0" collapsed="false">
      <c r="A9" s="3" t="s">
        <v>12</v>
      </c>
      <c r="B9" s="3" t="s">
        <v>24</v>
      </c>
      <c r="C9" s="3" t="n">
        <v>1</v>
      </c>
      <c r="D9" s="3" t="s">
        <v>30</v>
      </c>
      <c r="E9" s="3" t="s">
        <v>29</v>
      </c>
      <c r="F9" s="4"/>
      <c r="G9" s="4"/>
      <c r="H9" s="4"/>
      <c r="I9" s="4"/>
      <c r="J9" s="5"/>
      <c r="K9" s="3"/>
      <c r="L9" s="6"/>
    </row>
    <row r="10" customFormat="false" ht="15" hidden="false" customHeight="false" outlineLevel="0" collapsed="false">
      <c r="A10" s="3" t="s">
        <v>31</v>
      </c>
      <c r="B10" s="3" t="s">
        <v>32</v>
      </c>
      <c r="C10" s="3" t="n">
        <v>6</v>
      </c>
      <c r="D10" s="3" t="s">
        <v>33</v>
      </c>
      <c r="E10" s="3"/>
      <c r="F10" s="4" t="n">
        <v>18.89</v>
      </c>
      <c r="G10" s="4" t="n">
        <f aca="false">F10*C10</f>
        <v>113.34</v>
      </c>
      <c r="H10" s="4" t="n">
        <f aca="false">G10</f>
        <v>113.34</v>
      </c>
      <c r="I10" s="4" t="n">
        <f aca="false">G10</f>
        <v>113.34</v>
      </c>
      <c r="J10" s="5"/>
      <c r="K10" s="3" t="s">
        <v>16</v>
      </c>
      <c r="L10" s="6" t="s">
        <v>34</v>
      </c>
    </row>
    <row r="11" customFormat="false" ht="15" hidden="false" customHeight="false" outlineLevel="0" collapsed="false">
      <c r="A11" s="3" t="s">
        <v>31</v>
      </c>
      <c r="B11" s="3" t="s">
        <v>35</v>
      </c>
      <c r="C11" s="3" t="n">
        <v>4</v>
      </c>
      <c r="E11" s="3" t="s">
        <v>36</v>
      </c>
      <c r="F11" s="4" t="n">
        <v>2.07</v>
      </c>
      <c r="G11" s="4" t="n">
        <f aca="false">F11*C11</f>
        <v>8.28</v>
      </c>
      <c r="H11" s="4" t="n">
        <f aca="false">G11</f>
        <v>8.28</v>
      </c>
      <c r="I11" s="4" t="n">
        <f aca="false">G11</f>
        <v>8.28</v>
      </c>
      <c r="J11" s="5"/>
      <c r="K11" s="3" t="s">
        <v>16</v>
      </c>
      <c r="L11" s="6" t="s">
        <v>37</v>
      </c>
    </row>
    <row r="12" customFormat="false" ht="15" hidden="false" customHeight="false" outlineLevel="0" collapsed="false">
      <c r="A12" s="3" t="s">
        <v>31</v>
      </c>
      <c r="B12" s="3" t="s">
        <v>38</v>
      </c>
      <c r="C12" s="3" t="n">
        <v>1</v>
      </c>
      <c r="D12" s="3" t="s">
        <v>39</v>
      </c>
      <c r="E12" s="3" t="s">
        <v>40</v>
      </c>
      <c r="F12" s="4" t="n">
        <v>5.69</v>
      </c>
      <c r="G12" s="4" t="n">
        <f aca="false">F12*C12</f>
        <v>5.69</v>
      </c>
      <c r="H12" s="4" t="n">
        <f aca="false">G12</f>
        <v>5.69</v>
      </c>
      <c r="I12" s="4" t="n">
        <f aca="false">G12</f>
        <v>5.69</v>
      </c>
      <c r="J12" s="5"/>
      <c r="K12" s="3" t="s">
        <v>16</v>
      </c>
      <c r="L12" s="6" t="s">
        <v>41</v>
      </c>
    </row>
    <row r="13" customFormat="false" ht="15" hidden="false" customHeight="false" outlineLevel="0" collapsed="false">
      <c r="A13" s="3" t="s">
        <v>31</v>
      </c>
      <c r="B13" s="3" t="s">
        <v>42</v>
      </c>
      <c r="C13" s="3" t="n">
        <v>1</v>
      </c>
      <c r="E13" s="3" t="s">
        <v>43</v>
      </c>
      <c r="F13" s="4" t="n">
        <v>5.81</v>
      </c>
      <c r="G13" s="4" t="n">
        <f aca="false">F13*C13</f>
        <v>5.81</v>
      </c>
      <c r="H13" s="4" t="n">
        <f aca="false">G13</f>
        <v>5.81</v>
      </c>
      <c r="I13" s="4" t="n">
        <f aca="false">G13</f>
        <v>5.81</v>
      </c>
      <c r="J13" s="5"/>
      <c r="K13" s="3" t="s">
        <v>16</v>
      </c>
      <c r="L13" s="6" t="s">
        <v>41</v>
      </c>
    </row>
    <row r="14" customFormat="false" ht="15" hidden="false" customHeight="false" outlineLevel="0" collapsed="false">
      <c r="A14" s="3" t="s">
        <v>31</v>
      </c>
      <c r="B14" s="3" t="s">
        <v>44</v>
      </c>
      <c r="C14" s="3" t="n">
        <v>1</v>
      </c>
      <c r="D14" s="3" t="s">
        <v>45</v>
      </c>
      <c r="E14" s="3" t="s">
        <v>46</v>
      </c>
      <c r="F14" s="4" t="n">
        <v>32.79</v>
      </c>
      <c r="G14" s="4" t="n">
        <f aca="false">F14*C14</f>
        <v>32.79</v>
      </c>
      <c r="H14" s="4" t="n">
        <f aca="false">G14</f>
        <v>32.79</v>
      </c>
      <c r="I14" s="4" t="n">
        <f aca="false">G14</f>
        <v>32.79</v>
      </c>
      <c r="J14" s="5"/>
      <c r="K14" s="3" t="s">
        <v>16</v>
      </c>
      <c r="L14" s="6" t="s">
        <v>47</v>
      </c>
    </row>
    <row r="15" customFormat="false" ht="15" hidden="false" customHeight="false" outlineLevel="0" collapsed="false">
      <c r="A15" s="3" t="s">
        <v>31</v>
      </c>
      <c r="B15" s="3" t="s">
        <v>48</v>
      </c>
      <c r="C15" s="3" t="n">
        <v>2</v>
      </c>
      <c r="D15" s="3" t="s">
        <v>49</v>
      </c>
      <c r="E15" s="3" t="s">
        <v>50</v>
      </c>
      <c r="F15" s="4" t="n">
        <v>16.55</v>
      </c>
      <c r="G15" s="4" t="n">
        <f aca="false">F15*C15</f>
        <v>33.1</v>
      </c>
      <c r="H15" s="4" t="n">
        <v>0</v>
      </c>
      <c r="I15" s="4" t="n">
        <f aca="false">G15</f>
        <v>33.1</v>
      </c>
      <c r="J15" s="5"/>
      <c r="K15" s="3" t="s">
        <v>51</v>
      </c>
      <c r="L15" s="6" t="s">
        <v>52</v>
      </c>
    </row>
    <row r="16" customFormat="false" ht="15" hidden="false" customHeight="false" outlineLevel="0" collapsed="false">
      <c r="A16" s="3" t="s">
        <v>31</v>
      </c>
      <c r="B16" s="3" t="s">
        <v>53</v>
      </c>
      <c r="C16" s="3" t="n">
        <v>3</v>
      </c>
      <c r="D16" s="3" t="s">
        <v>33</v>
      </c>
      <c r="E16" s="3" t="s">
        <v>54</v>
      </c>
      <c r="F16" s="4" t="n">
        <v>10.69</v>
      </c>
      <c r="G16" s="4" t="n">
        <f aca="false">F16*C16</f>
        <v>32.07</v>
      </c>
      <c r="H16" s="4" t="n">
        <f aca="false">G16</f>
        <v>32.07</v>
      </c>
      <c r="I16" s="4" t="n">
        <f aca="false">G16</f>
        <v>32.07</v>
      </c>
      <c r="J16" s="5"/>
      <c r="K16" s="3" t="s">
        <v>16</v>
      </c>
      <c r="L16" s="6" t="s">
        <v>55</v>
      </c>
    </row>
    <row r="17" customFormat="false" ht="15" hidden="false" customHeight="false" outlineLevel="0" collapsed="false">
      <c r="A17" s="3" t="s">
        <v>31</v>
      </c>
      <c r="B17" s="3" t="s">
        <v>56</v>
      </c>
      <c r="C17" s="3" t="n">
        <v>0</v>
      </c>
      <c r="E17" s="3" t="s">
        <v>57</v>
      </c>
      <c r="F17" s="4" t="n">
        <v>5.59</v>
      </c>
      <c r="G17" s="4" t="n">
        <f aca="false">F17*C17</f>
        <v>0</v>
      </c>
      <c r="H17" s="4" t="n">
        <f aca="false">G17</f>
        <v>0</v>
      </c>
      <c r="I17" s="4" t="n">
        <f aca="false">G17</f>
        <v>0</v>
      </c>
      <c r="J17" s="5"/>
      <c r="K17" s="3" t="s">
        <v>58</v>
      </c>
      <c r="L17" s="6" t="s">
        <v>59</v>
      </c>
    </row>
    <row r="18" customFormat="false" ht="15" hidden="false" customHeight="false" outlineLevel="0" collapsed="false">
      <c r="A18" s="3" t="s">
        <v>31</v>
      </c>
      <c r="B18" s="3" t="s">
        <v>60</v>
      </c>
      <c r="C18" s="3" t="n">
        <v>3</v>
      </c>
      <c r="E18" s="3" t="s">
        <v>61</v>
      </c>
      <c r="F18" s="4" t="n">
        <v>5.09</v>
      </c>
      <c r="G18" s="4" t="n">
        <f aca="false">F18*C18</f>
        <v>15.27</v>
      </c>
      <c r="H18" s="4" t="n">
        <f aca="false">G18</f>
        <v>15.27</v>
      </c>
      <c r="I18" s="4" t="n">
        <f aca="false">G18</f>
        <v>15.27</v>
      </c>
      <c r="J18" s="5"/>
      <c r="K18" s="3" t="s">
        <v>16</v>
      </c>
      <c r="L18" s="6" t="s">
        <v>62</v>
      </c>
    </row>
    <row r="19" customFormat="false" ht="15" hidden="false" customHeight="false" outlineLevel="0" collapsed="false">
      <c r="A19" s="3" t="s">
        <v>31</v>
      </c>
      <c r="B19" s="3" t="s">
        <v>48</v>
      </c>
      <c r="C19" s="3" t="n">
        <v>1</v>
      </c>
      <c r="D19" s="3" t="s">
        <v>63</v>
      </c>
      <c r="E19" s="3" t="s">
        <v>64</v>
      </c>
      <c r="F19" s="4" t="n">
        <v>22.41</v>
      </c>
      <c r="G19" s="4" t="n">
        <f aca="false">F19*C19</f>
        <v>22.41</v>
      </c>
      <c r="H19" s="4" t="n">
        <v>0</v>
      </c>
      <c r="I19" s="4" t="n">
        <f aca="false">G19</f>
        <v>22.41</v>
      </c>
      <c r="J19" s="5"/>
      <c r="K19" s="3" t="s">
        <v>51</v>
      </c>
      <c r="L19" s="6" t="s">
        <v>65</v>
      </c>
    </row>
    <row r="20" customFormat="false" ht="15" hidden="false" customHeight="false" outlineLevel="0" collapsed="false">
      <c r="A20" s="3" t="s">
        <v>66</v>
      </c>
      <c r="B20" s="3" t="s">
        <v>67</v>
      </c>
      <c r="C20" s="3" t="n">
        <v>1</v>
      </c>
      <c r="E20" s="3" t="s">
        <v>68</v>
      </c>
      <c r="F20" s="4" t="n">
        <v>157.99</v>
      </c>
      <c r="G20" s="4" t="n">
        <f aca="false">F20*C20</f>
        <v>157.99</v>
      </c>
      <c r="H20" s="4" t="n">
        <v>0</v>
      </c>
      <c r="I20" s="4" t="n">
        <f aca="false">G20</f>
        <v>157.99</v>
      </c>
      <c r="J20" s="5" t="s">
        <v>69</v>
      </c>
      <c r="K20" s="3" t="s">
        <v>16</v>
      </c>
      <c r="L20" s="6" t="s">
        <v>70</v>
      </c>
    </row>
    <row r="21" customFormat="false" ht="15" hidden="false" customHeight="false" outlineLevel="0" collapsed="false">
      <c r="A21" s="3" t="s">
        <v>31</v>
      </c>
      <c r="B21" s="3" t="s">
        <v>71</v>
      </c>
      <c r="C21" s="3" t="n">
        <v>1</v>
      </c>
      <c r="D21" s="3" t="s">
        <v>63</v>
      </c>
      <c r="E21" s="3" t="s">
        <v>72</v>
      </c>
      <c r="F21" s="4" t="n">
        <v>8.12</v>
      </c>
      <c r="G21" s="4" t="n">
        <f aca="false">F21*C21</f>
        <v>8.12</v>
      </c>
      <c r="H21" s="4" t="n">
        <v>0</v>
      </c>
      <c r="I21" s="4" t="n">
        <f aca="false">G21</f>
        <v>8.12</v>
      </c>
      <c r="J21" s="5"/>
      <c r="K21" s="3" t="s">
        <v>51</v>
      </c>
      <c r="L21" s="6" t="s">
        <v>73</v>
      </c>
    </row>
    <row r="22" customFormat="false" ht="15" hidden="false" customHeight="false" outlineLevel="0" collapsed="false">
      <c r="A22" s="3" t="s">
        <v>66</v>
      </c>
      <c r="B22" s="3" t="s">
        <v>74</v>
      </c>
      <c r="C22" s="3" t="n">
        <v>1</v>
      </c>
      <c r="E22" s="3" t="s">
        <v>75</v>
      </c>
      <c r="F22" s="4" t="n">
        <v>5.8</v>
      </c>
      <c r="G22" s="4" t="n">
        <f aca="false">F22*C22</f>
        <v>5.8</v>
      </c>
      <c r="H22" s="4" t="n">
        <f aca="false">G22</f>
        <v>5.8</v>
      </c>
      <c r="I22" s="4" t="n">
        <f aca="false">G22</f>
        <v>5.8</v>
      </c>
      <c r="J22" s="5"/>
      <c r="K22" s="3" t="s">
        <v>16</v>
      </c>
      <c r="L22" s="6" t="s">
        <v>76</v>
      </c>
    </row>
    <row r="23" customFormat="false" ht="15" hidden="false" customHeight="false" outlineLevel="0" collapsed="false">
      <c r="A23" s="3" t="s">
        <v>66</v>
      </c>
      <c r="B23" s="3" t="s">
        <v>77</v>
      </c>
      <c r="C23" s="3" t="n">
        <v>1</v>
      </c>
      <c r="D23" s="3" t="s">
        <v>21</v>
      </c>
      <c r="E23" s="3" t="s">
        <v>78</v>
      </c>
      <c r="F23" s="4" t="n">
        <v>15.79</v>
      </c>
      <c r="G23" s="4" t="n">
        <f aca="false">F23*C23</f>
        <v>15.79</v>
      </c>
      <c r="H23" s="4" t="n">
        <f aca="false">G23</f>
        <v>15.79</v>
      </c>
      <c r="I23" s="4" t="n">
        <f aca="false">G23</f>
        <v>15.79</v>
      </c>
      <c r="J23" s="5"/>
      <c r="K23" s="3" t="s">
        <v>16</v>
      </c>
      <c r="L23" s="6" t="s">
        <v>79</v>
      </c>
    </row>
    <row r="24" customFormat="false" ht="15" hidden="false" customHeight="false" outlineLevel="0" collapsed="false">
      <c r="A24" s="3" t="s">
        <v>66</v>
      </c>
      <c r="B24" s="3" t="s">
        <v>80</v>
      </c>
      <c r="C24" s="3" t="n">
        <v>1</v>
      </c>
      <c r="E24" s="3" t="s">
        <v>81</v>
      </c>
      <c r="F24" s="4" t="n">
        <v>11.89</v>
      </c>
      <c r="G24" s="4" t="n">
        <f aca="false">F24*C24</f>
        <v>11.89</v>
      </c>
      <c r="H24" s="4" t="n">
        <f aca="false">G24</f>
        <v>11.89</v>
      </c>
      <c r="I24" s="4" t="n">
        <f aca="false">G24</f>
        <v>11.89</v>
      </c>
      <c r="J24" s="5"/>
      <c r="K24" s="3" t="s">
        <v>16</v>
      </c>
      <c r="L24" s="6" t="s">
        <v>82</v>
      </c>
    </row>
    <row r="25" customFormat="false" ht="15.75" hidden="false" customHeight="true" outlineLevel="0" collapsed="false">
      <c r="A25" s="3" t="s">
        <v>66</v>
      </c>
      <c r="B25" s="3" t="s">
        <v>83</v>
      </c>
      <c r="C25" s="3" t="n">
        <v>1</v>
      </c>
      <c r="E25" s="3" t="s">
        <v>84</v>
      </c>
      <c r="F25" s="4" t="n">
        <v>5.12</v>
      </c>
      <c r="G25" s="4" t="n">
        <f aca="false">F25*C25</f>
        <v>5.12</v>
      </c>
      <c r="H25" s="4" t="n">
        <f aca="false">G25</f>
        <v>5.12</v>
      </c>
      <c r="I25" s="4" t="n">
        <f aca="false">G25</f>
        <v>5.12</v>
      </c>
      <c r="J25" s="5"/>
      <c r="K25" s="3" t="s">
        <v>16</v>
      </c>
      <c r="L25" s="6" t="s">
        <v>85</v>
      </c>
    </row>
    <row r="26" customFormat="false" ht="15.75" hidden="false" customHeight="true" outlineLevel="0" collapsed="false">
      <c r="A26" s="3" t="s">
        <v>86</v>
      </c>
      <c r="B26" s="3" t="s">
        <v>87</v>
      </c>
      <c r="C26" s="3" t="n">
        <v>1</v>
      </c>
      <c r="E26" s="3" t="s">
        <v>88</v>
      </c>
      <c r="F26" s="4" t="n">
        <v>130</v>
      </c>
      <c r="G26" s="4" t="n">
        <f aca="false">F26*C26</f>
        <v>130</v>
      </c>
      <c r="H26" s="4" t="n">
        <f aca="false">G26</f>
        <v>130</v>
      </c>
      <c r="I26" s="4" t="n">
        <f aca="false">G26</f>
        <v>130</v>
      </c>
      <c r="J26" s="5"/>
      <c r="K26" s="3" t="s">
        <v>16</v>
      </c>
      <c r="L26" s="6" t="s">
        <v>89</v>
      </c>
    </row>
    <row r="27" customFormat="false" ht="15.75" hidden="false" customHeight="true" outlineLevel="0" collapsed="false">
      <c r="A27" s="3" t="s">
        <v>86</v>
      </c>
      <c r="B27" s="3" t="s">
        <v>90</v>
      </c>
      <c r="C27" s="3" t="n">
        <v>1</v>
      </c>
      <c r="E27" s="3" t="s">
        <v>91</v>
      </c>
      <c r="F27" s="4" t="n">
        <v>80.19</v>
      </c>
      <c r="G27" s="4" t="n">
        <f aca="false">F27*C27</f>
        <v>80.19</v>
      </c>
      <c r="H27" s="4" t="n">
        <f aca="false">G27</f>
        <v>80.19</v>
      </c>
      <c r="I27" s="4" t="n">
        <f aca="false">G27</f>
        <v>80.19</v>
      </c>
      <c r="J27" s="5"/>
      <c r="K27" s="3" t="s">
        <v>16</v>
      </c>
      <c r="L27" s="6" t="s">
        <v>92</v>
      </c>
    </row>
    <row r="28" customFormat="false" ht="15.75" hidden="false" customHeight="true" outlineLevel="0" collapsed="false">
      <c r="A28" s="3" t="s">
        <v>86</v>
      </c>
      <c r="B28" s="3" t="s">
        <v>93</v>
      </c>
      <c r="C28" s="3" t="n">
        <v>1</v>
      </c>
      <c r="E28" s="3" t="s">
        <v>94</v>
      </c>
      <c r="F28" s="4" t="n">
        <v>144.99</v>
      </c>
      <c r="G28" s="4" t="n">
        <f aca="false">F28*C28</f>
        <v>144.99</v>
      </c>
      <c r="H28" s="4" t="n">
        <f aca="false">G28</f>
        <v>144.99</v>
      </c>
      <c r="I28" s="4" t="n">
        <f aca="false">G28</f>
        <v>144.99</v>
      </c>
      <c r="J28" s="5"/>
      <c r="K28" s="3" t="s">
        <v>16</v>
      </c>
      <c r="L28" s="6" t="s">
        <v>95</v>
      </c>
    </row>
    <row r="29" customFormat="false" ht="15.75" hidden="false" customHeight="true" outlineLevel="0" collapsed="false">
      <c r="A29" s="3" t="s">
        <v>86</v>
      </c>
      <c r="B29" s="3" t="s">
        <v>96</v>
      </c>
      <c r="C29" s="3" t="n">
        <v>1</v>
      </c>
      <c r="E29" s="3" t="s">
        <v>97</v>
      </c>
      <c r="F29" s="4" t="n">
        <v>142.45</v>
      </c>
      <c r="G29" s="4" t="n">
        <f aca="false">F29*C29</f>
        <v>142.45</v>
      </c>
      <c r="H29" s="4" t="n">
        <f aca="false">G29</f>
        <v>142.45</v>
      </c>
      <c r="I29" s="4" t="n">
        <f aca="false">G29</f>
        <v>142.45</v>
      </c>
      <c r="J29" s="5"/>
      <c r="K29" s="3" t="s">
        <v>98</v>
      </c>
      <c r="L29" s="6" t="s">
        <v>99</v>
      </c>
    </row>
    <row r="30" customFormat="false" ht="15.75" hidden="false" customHeight="true" outlineLevel="0" collapsed="false">
      <c r="A30" s="3" t="s">
        <v>86</v>
      </c>
      <c r="B30" s="3" t="s">
        <v>100</v>
      </c>
      <c r="C30" s="3" t="n">
        <v>1</v>
      </c>
      <c r="E30" s="3" t="s">
        <v>101</v>
      </c>
      <c r="F30" s="4" t="n">
        <v>19.69</v>
      </c>
      <c r="G30" s="4" t="n">
        <f aca="false">F30*C30</f>
        <v>19.69</v>
      </c>
      <c r="H30" s="4" t="n">
        <f aca="false">G30</f>
        <v>19.69</v>
      </c>
      <c r="I30" s="4" t="n">
        <f aca="false">G30</f>
        <v>19.69</v>
      </c>
      <c r="J30" s="5"/>
      <c r="K30" s="3" t="s">
        <v>16</v>
      </c>
      <c r="L30" s="6" t="s">
        <v>102</v>
      </c>
    </row>
    <row r="31" customFormat="false" ht="15.75" hidden="false" customHeight="true" outlineLevel="0" collapsed="false">
      <c r="A31" s="3" t="s">
        <v>86</v>
      </c>
      <c r="B31" s="3" t="s">
        <v>103</v>
      </c>
      <c r="C31" s="3" t="n">
        <v>1</v>
      </c>
      <c r="E31" s="3" t="s">
        <v>104</v>
      </c>
      <c r="F31" s="4"/>
      <c r="G31" s="4" t="n">
        <f aca="false">F31*C31</f>
        <v>0</v>
      </c>
      <c r="H31" s="4" t="n">
        <f aca="false">G31</f>
        <v>0</v>
      </c>
      <c r="I31" s="4" t="n">
        <f aca="false">G31</f>
        <v>0</v>
      </c>
      <c r="J31" s="5"/>
      <c r="K31" s="3" t="s">
        <v>58</v>
      </c>
    </row>
    <row r="32" customFormat="false" ht="15.75" hidden="false" customHeight="true" outlineLevel="0" collapsed="false">
      <c r="A32" s="3" t="s">
        <v>86</v>
      </c>
      <c r="B32" s="3" t="s">
        <v>105</v>
      </c>
      <c r="C32" s="3" t="n">
        <v>1</v>
      </c>
      <c r="E32" s="3" t="s">
        <v>106</v>
      </c>
      <c r="F32" s="4" t="n">
        <v>100</v>
      </c>
      <c r="G32" s="4" t="n">
        <f aca="false">F32*C32</f>
        <v>100</v>
      </c>
      <c r="H32" s="4" t="n">
        <f aca="false">G32</f>
        <v>100</v>
      </c>
      <c r="I32" s="4" t="n">
        <f aca="false">G32</f>
        <v>100</v>
      </c>
      <c r="J32" s="4"/>
      <c r="K32" s="3" t="s">
        <v>107</v>
      </c>
    </row>
    <row r="33" customFormat="false" ht="15.75" hidden="false" customHeight="true" outlineLevel="0" collapsed="false">
      <c r="A33" s="3" t="s">
        <v>108</v>
      </c>
      <c r="B33" s="3" t="s">
        <v>109</v>
      </c>
      <c r="C33" s="3" t="n">
        <v>1</v>
      </c>
      <c r="D33" s="3" t="s">
        <v>110</v>
      </c>
      <c r="E33" s="3" t="s">
        <v>111</v>
      </c>
      <c r="F33" s="4" t="n">
        <v>46.77</v>
      </c>
      <c r="G33" s="4" t="n">
        <f aca="false">F33*C33</f>
        <v>46.77</v>
      </c>
      <c r="H33" s="4" t="n">
        <f aca="false">G33</f>
        <v>46.77</v>
      </c>
      <c r="I33" s="4" t="n">
        <f aca="false">G33</f>
        <v>46.77</v>
      </c>
      <c r="J33" s="5"/>
      <c r="K33" s="3" t="s">
        <v>16</v>
      </c>
      <c r="L33" s="6" t="s">
        <v>112</v>
      </c>
    </row>
    <row r="34" customFormat="false" ht="15.75" hidden="false" customHeight="true" outlineLevel="0" collapsed="false">
      <c r="A34" s="3" t="s">
        <v>108</v>
      </c>
      <c r="B34" s="3" t="s">
        <v>113</v>
      </c>
      <c r="C34" s="3" t="n">
        <v>2</v>
      </c>
      <c r="E34" s="3" t="s">
        <v>114</v>
      </c>
      <c r="F34" s="4" t="n">
        <v>20</v>
      </c>
      <c r="G34" s="4" t="n">
        <f aca="false">F34*C34</f>
        <v>40</v>
      </c>
      <c r="H34" s="4" t="n">
        <v>0</v>
      </c>
      <c r="I34" s="4" t="n">
        <f aca="false">G34</f>
        <v>40</v>
      </c>
      <c r="J34" s="4"/>
      <c r="K34" s="3" t="s">
        <v>16</v>
      </c>
    </row>
    <row r="35" customFormat="false" ht="15.75" hidden="false" customHeight="true" outlineLevel="0" collapsed="false">
      <c r="A35" s="3" t="s">
        <v>108</v>
      </c>
      <c r="B35" s="3" t="s">
        <v>115</v>
      </c>
      <c r="C35" s="3" t="n">
        <v>1</v>
      </c>
      <c r="E35" s="3" t="s">
        <v>116</v>
      </c>
      <c r="F35" s="4" t="n">
        <v>3.79</v>
      </c>
      <c r="G35" s="4" t="n">
        <f aca="false">F35*C35</f>
        <v>3.79</v>
      </c>
      <c r="H35" s="4" t="n">
        <f aca="false">G35</f>
        <v>3.79</v>
      </c>
      <c r="I35" s="4" t="n">
        <f aca="false">G35</f>
        <v>3.79</v>
      </c>
      <c r="J35" s="5"/>
      <c r="K35" s="3" t="s">
        <v>16</v>
      </c>
      <c r="L35" s="6" t="s">
        <v>117</v>
      </c>
    </row>
    <row r="36" customFormat="false" ht="15.75" hidden="false" customHeight="true" outlineLevel="0" collapsed="false">
      <c r="A36" s="3" t="s">
        <v>108</v>
      </c>
      <c r="B36" s="3" t="s">
        <v>118</v>
      </c>
      <c r="C36" s="3" t="n">
        <v>1</v>
      </c>
      <c r="E36" s="3" t="s">
        <v>119</v>
      </c>
      <c r="F36" s="4"/>
      <c r="G36" s="4" t="n">
        <f aca="false">F36*C36</f>
        <v>0</v>
      </c>
      <c r="H36" s="4" t="n">
        <f aca="false">G36</f>
        <v>0</v>
      </c>
      <c r="I36" s="4"/>
      <c r="J36" s="4"/>
      <c r="L36" s="6"/>
    </row>
    <row r="37" customFormat="false" ht="15.75" hidden="false" customHeight="true" outlineLevel="0" collapsed="false">
      <c r="A37" s="3" t="s">
        <v>108</v>
      </c>
      <c r="B37" s="3" t="s">
        <v>120</v>
      </c>
      <c r="C37" s="3" t="n">
        <v>1</v>
      </c>
      <c r="E37" s="3" t="s">
        <v>121</v>
      </c>
      <c r="F37" s="4" t="n">
        <v>200</v>
      </c>
      <c r="G37" s="4" t="n">
        <f aca="false">F37*C37</f>
        <v>200</v>
      </c>
      <c r="H37" s="4" t="n">
        <f aca="false">G37</f>
        <v>200</v>
      </c>
      <c r="I37" s="4"/>
      <c r="J37" s="4"/>
      <c r="L37" s="6"/>
    </row>
    <row r="38" customFormat="false" ht="15.75" hidden="false" customHeight="true" outlineLevel="0" collapsed="false">
      <c r="F38" s="4"/>
      <c r="G38" s="4"/>
      <c r="H38" s="4"/>
      <c r="I38" s="4"/>
      <c r="J38" s="4"/>
    </row>
    <row r="39" customFormat="false" ht="15.75" hidden="false" customHeight="true" outlineLevel="0" collapsed="false">
      <c r="F39" s="4"/>
      <c r="G39" s="4"/>
      <c r="H39" s="4" t="n">
        <f aca="false">SUM(H2:H37)</f>
        <v>1119.73</v>
      </c>
      <c r="I39" s="4" t="n">
        <f aca="false">SUM(I2:I37)</f>
        <v>1391.75</v>
      </c>
      <c r="J39" s="4"/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48576" customFormat="false" ht="12.8" hidden="false" customHeight="true" outlineLevel="0" collapsed="false"/>
  </sheetData>
  <hyperlinks>
    <hyperlink ref="L2" r:id="rId1" display="2Pcs Openbuilds 2020 V-Slot Aluminum Profile 100mm-550mm Black/Silver Aluminum Extrusion 20x20mm for CNC 3D Printer Parts - AliExpress 13"/>
    <hyperlink ref="L3" r:id="rId2" display="2Pcs Openbuilds 2020 V-Slot Aluminum Profile 100mm-550mm Black/Silver Aluminum Extrusion 20x20mm for CNC 3D Printer Parts - AliExpress 13"/>
    <hyperlink ref="L5" r:id="rId3" display="1pc Black 2020 2020N1 2040 2040N1 2060 2080 4040 4080 20100 V-Slot Aluminum Profile EU standard 3D Printer Track DIY Frame - AliExpress 13"/>
    <hyperlink ref="L8" r:id="rId4" display="1pc Black 2020 2020N1 2040 2040N1 2060 2080 4040 4080 20100 V-Slot Aluminum Profile EU standard 3D Printer Track DIY Frame - AliExpress 13"/>
    <hyperlink ref="L10" r:id="rId5" display="Cnc Table Kit|miniature Linear Guide Rail Kit Mgn7h-mgn15h For Cnc &amp; 3d Printers"/>
    <hyperlink ref="L11" r:id="rId6" display="GT2 20Teeth 16 Teeth 20 Teeth Bore 5mm/8mm Timing Alumium Pulley Fit For GT2-6mm Open Timing Belt For 3D Printer - AliExpress"/>
    <hyperlink ref="L12" r:id="rId7" display="5/10P GT2 Idler Timing Pulley 16-Tooth 20-Teeth With 3MM or 5MM Bore With Bearings For 3D Printer Parts 2GT Timing Belt 6MM 10MM - AliExpress"/>
    <hyperlink ref="L13" r:id="rId8" display="5/10P GT2 Idler Timing Pulley 16-Tooth 20-Teeth With 3MM or 5MM Bore With Bearings For 3D Printer Parts 2GT Timing Belt 6MM 10MM - AliExpress"/>
    <hyperlink ref="L14" r:id="rId9" display="Trianglelab Gates 2GT belt synchronous belt Timing belt Width 6mm 9mm length 2m 4m 6m wear GT2 resistant for Ender3 cr10 Anet - AliExpress"/>
    <hyperlink ref="L15" r:id="rId10" display="Nema 17 Bipolar 59Ncm(83.55oz.in) 2A 42x42x48mm 4 Wires w/ 1m Cable &amp; Connector - 17HS19-2004S1 | StepperOnline"/>
    <hyperlink ref="L16" r:id="rId11" display="T8 Lead Screw With nut OD 8mm Lead 2mm Pitch 2mm 100mm 200mm 300mm 400mm 500mm Lead Screw With Brass Nut Reprap 3D Printer Parts - AliExpress 7"/>
    <hyperlink ref="L17" r:id="rId12" display="1/2/4/10 PCS T8 LeadScrew 2mm Pitch 4 Start 8mm Helical Pitch Brass Nut for 3D Printer Z Axis T8x8 Tr8x8 Thread Screw Rod Nut - AliExpress"/>
    <hyperlink ref="L18" r:id="rId13" display="D20L25/30/35 3D Printer Part Lead Screw Coupler 1PC Rigid Coupling 8x10 6x8 5x8mm Motor Connector Motor Shaft Coupling - AliExpress"/>
    <hyperlink ref="L19" r:id="rId14" display="3pcs E Series Nema 17 Bipolar 42Ncm(59.49oz.in) 1.5A 42x42x38mm 4 Wires w/ 1m Cable &amp; Connector - 3-17HE15-1504S | StepperOnline"/>
    <hyperlink ref="L20" r:id="rId15" display="Trianglelab NEW V2 Phaetus Rapido Hotend 2.0 HF 104NT PT1000 UHF High Speed High Effcient Heating Unit For VORON 3D PRINTER - AliExpress"/>
    <hyperlink ref="L21" r:id="rId16" display="E Series Nema 17 Bipolar 42Ncm(59.49oz.in) 1.5A 42x42x38mm 4 Wires w/ 1m Cable &amp; Connector - 17HE15-1504S | StepperOnline"/>
    <hyperlink ref="L22" r:id="rId17" display="3D Printer Upgraded Aluminum MK8 Extruder Drive Feed Kit for Ender 3/3 Pro/3 V2, Ender 5/5 Pro/5 Plus, CR-10/10S - AliExpress"/>
    <hyperlink ref="L23" r:id="rId18" display="Creality 3d Capricorn Bowden Ptfe Tubing Xs Serie Blue 1m Tube Quick Fitting 1pcs Pneumatic Fitting Push 1.75mm Filament - 3d Printer Parts &amp; Accessories - AliExpress"/>
    <hyperlink ref="L24" r:id="rId19" display="Gdstime DC 5V 12V 24V 50x50x15mm Dual Ball Cooler 2Pin USB Radial Fan 5015 Turbo Blower 5cm 50mm Radiator for 3D Printer Cooling - AliExpress"/>
    <hyperlink ref="L25" r:id="rId20" display="4010 12025 8010 30mm dc 5V 12V 24V Cooling Fan Brushless Motor Case Quiet 40MM 50MM 60MM 70MM 80MM 90MM 120MM for 3D print 2PIN - AliExpress"/>
    <hyperlink ref="L26" r:id="rId21" display="BIGTREETECH Manta M8P V2.0 Motherboard STM32H723ZE 32bit for Klipper Raspberry Pi For Voron V0 Ender 3 3D Printer Control Board - AliExpress 7"/>
    <hyperlink ref="L27" r:id="rId22" display="Original Mean Well RS-15/25 LRS-35/50/100/150/200/350/450/600 Series Meanwell 3.3V 5V 12V 15V 24V 36V 48V Switching Power Supply - AliExpress"/>
    <hyperlink ref="L28" r:id="rId23" display="Voron 0/0.1/0.2/2.4/Trident 6061 Aluminum Alloy Plate 120*120*6mm 350*350*8mm for Voron 3D Printer Accessories Printing Platform - AliExpress"/>
    <hyperlink ref="L29" r:id="rId24" display="V1/V2/VT Silicone Bed Heater Mat by Fermio Labs - 340x340mm - Unique Prints"/>
    <hyperlink ref="L30" r:id="rId25" display="New Authentic Original OMRON Solid State Relay G3NB-205B-1 210B-1 220B-1 225B-1 240B-1 275B-1 5A"/>
    <hyperlink ref="L33" r:id="rId26" display="Magnetic PEI Powder Sheet 235/250/310/350/220mm Double Sided Spring Steel Sheet Textured For Ender 3 CR10 P1P SW-X1 Build Plate - AliExpress 7"/>
    <hyperlink ref="L35" r:id="rId27" display="1-6set Hot Bed Leveling Column Silicone Solid Spacer Platform Leveler For CR10/ CR10S CR-X Ende-3 ELEGOO Kobra 3D Printer Parts - AliExpress 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15"/>
    <col collapsed="false" customWidth="true" hidden="false" outlineLevel="0" max="3" min="3" style="1" width="22.15"/>
    <col collapsed="false" customWidth="true" hidden="false" outlineLevel="0" max="4" min="4" style="1" width="39.43"/>
    <col collapsed="false" customWidth="true" hidden="false" outlineLevel="0" max="5" min="5" style="1" width="22.57"/>
    <col collapsed="false" customWidth="true" hidden="false" outlineLevel="0" max="26" min="6" style="1" width="8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122</v>
      </c>
      <c r="D1" s="2" t="s">
        <v>123</v>
      </c>
      <c r="E1" s="2" t="s">
        <v>4</v>
      </c>
    </row>
    <row r="2" customFormat="false" ht="15" hidden="false" customHeight="false" outlineLevel="0" collapsed="false">
      <c r="A2" s="3" t="s">
        <v>12</v>
      </c>
      <c r="B2" s="3" t="s">
        <v>124</v>
      </c>
      <c r="C2" s="3" t="s">
        <v>125</v>
      </c>
      <c r="D2" s="6" t="s">
        <v>126</v>
      </c>
      <c r="E2" s="3" t="s">
        <v>127</v>
      </c>
    </row>
    <row r="3" customFormat="false" ht="15" hidden="false" customHeight="false" outlineLevel="0" collapsed="false">
      <c r="A3" s="3" t="s">
        <v>31</v>
      </c>
      <c r="B3" s="3" t="s">
        <v>128</v>
      </c>
      <c r="C3" s="3" t="s">
        <v>129</v>
      </c>
      <c r="D3" s="6" t="s">
        <v>130</v>
      </c>
      <c r="E3" s="3" t="s">
        <v>131</v>
      </c>
    </row>
    <row r="4" customFormat="false" ht="15" hidden="false" customHeight="false" outlineLevel="0" collapsed="false">
      <c r="A4" s="3" t="s">
        <v>86</v>
      </c>
      <c r="B4" s="3" t="s">
        <v>132</v>
      </c>
      <c r="C4" s="3" t="s">
        <v>133</v>
      </c>
      <c r="D4" s="6" t="s">
        <v>134</v>
      </c>
      <c r="E4" s="3" t="s">
        <v>135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D2" r:id="rId1" display="https://example.com/xy_joint_bracket_v1"/>
    <hyperlink ref="D3" r:id="rId2" display="https://example.com/belt_tensioner_v2"/>
    <hyperlink ref="D4" r:id="rId3" display="https://example.com/ssr_mount_v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1" width="18.43"/>
    <col collapsed="false" customWidth="true" hidden="false" outlineLevel="0" max="7" min="3" style="1" width="20.71"/>
    <col collapsed="false" customWidth="true" hidden="false" outlineLevel="0" max="17" min="8" style="1" width="7"/>
    <col collapsed="false" customWidth="true" hidden="false" outlineLevel="0" max="18" min="18" style="1" width="41.29"/>
    <col collapsed="false" customWidth="true" hidden="false" outlineLevel="0" max="26" min="19" style="1" width="8.71"/>
  </cols>
  <sheetData>
    <row r="1" customFormat="false" ht="19.7" hidden="false" customHeight="false" outlineLevel="0" collapsed="false">
      <c r="A1" s="7" t="s">
        <v>12</v>
      </c>
    </row>
    <row r="2" customFormat="false" ht="15" hidden="false" customHeight="false" outlineLevel="0" collapsed="false">
      <c r="E2" s="8"/>
    </row>
    <row r="3" customFormat="false" ht="15" hidden="false" customHeight="false" outlineLevel="0" collapsed="false">
      <c r="A3" s="2" t="s">
        <v>1</v>
      </c>
      <c r="B3" s="2" t="s">
        <v>3</v>
      </c>
      <c r="C3" s="2" t="s">
        <v>4</v>
      </c>
      <c r="D3" s="2" t="s">
        <v>136</v>
      </c>
      <c r="E3" s="2" t="s">
        <v>2</v>
      </c>
      <c r="F3" s="9" t="s">
        <v>137</v>
      </c>
      <c r="G3" s="2" t="s">
        <v>138</v>
      </c>
      <c r="H3" s="2"/>
      <c r="P3" s="2"/>
      <c r="Q3" s="2"/>
      <c r="R3" s="2" t="s">
        <v>4</v>
      </c>
    </row>
    <row r="4" customFormat="false" ht="15" hidden="false" customHeight="false" outlineLevel="0" collapsed="false">
      <c r="A4" s="3" t="n">
        <v>1</v>
      </c>
      <c r="B4" s="3" t="s">
        <v>13</v>
      </c>
      <c r="C4" s="3" t="s">
        <v>15</v>
      </c>
      <c r="D4" s="3" t="n">
        <v>550</v>
      </c>
      <c r="E4" s="3" t="n">
        <v>4</v>
      </c>
      <c r="F4" s="8" t="n">
        <f aca="false">E4*D4</f>
        <v>2200</v>
      </c>
      <c r="G4" s="5"/>
    </row>
    <row r="5" customFormat="false" ht="15" hidden="false" customHeight="false" outlineLevel="0" collapsed="false">
      <c r="A5" s="3" t="n">
        <v>2</v>
      </c>
      <c r="B5" s="3" t="s">
        <v>13</v>
      </c>
      <c r="C5" s="3" t="s">
        <v>139</v>
      </c>
      <c r="D5" s="3" t="n">
        <v>500</v>
      </c>
      <c r="E5" s="3" t="n">
        <v>4</v>
      </c>
      <c r="F5" s="8" t="n">
        <f aca="false">E5*D5</f>
        <v>2000</v>
      </c>
      <c r="G5" s="5"/>
    </row>
    <row r="6" customFormat="false" ht="15" hidden="false" customHeight="false" outlineLevel="0" collapsed="false">
      <c r="A6" s="3" t="n">
        <v>3</v>
      </c>
      <c r="B6" s="3" t="s">
        <v>13</v>
      </c>
      <c r="C6" s="3" t="s">
        <v>19</v>
      </c>
      <c r="D6" s="3" t="n">
        <v>460</v>
      </c>
      <c r="E6" s="3" t="n">
        <v>2</v>
      </c>
      <c r="F6" s="8" t="n">
        <f aca="false">E6*D6</f>
        <v>920</v>
      </c>
      <c r="G6" s="5"/>
      <c r="H6" s="1" t="s">
        <v>140</v>
      </c>
    </row>
    <row r="7" customFormat="false" ht="15" hidden="false" customHeight="false" outlineLevel="0" collapsed="false">
      <c r="A7" s="3" t="n">
        <v>4</v>
      </c>
      <c r="B7" s="3" t="s">
        <v>13</v>
      </c>
      <c r="C7" s="3" t="s">
        <v>20</v>
      </c>
      <c r="D7" s="3" t="n">
        <v>460</v>
      </c>
      <c r="E7" s="3" t="n">
        <v>2</v>
      </c>
      <c r="F7" s="8" t="n">
        <f aca="false">E7*D7</f>
        <v>920</v>
      </c>
    </row>
    <row r="8" customFormat="false" ht="15" hidden="false" customHeight="false" outlineLevel="0" collapsed="false">
      <c r="A8" s="3" t="n">
        <v>5</v>
      </c>
      <c r="B8" s="3" t="s">
        <v>24</v>
      </c>
      <c r="C8" s="3" t="s">
        <v>141</v>
      </c>
      <c r="D8" s="3" t="n">
        <v>470</v>
      </c>
      <c r="E8" s="3" t="n">
        <v>1</v>
      </c>
      <c r="F8" s="8" t="n">
        <f aca="false">E8*D8</f>
        <v>470</v>
      </c>
    </row>
    <row r="9" customFormat="false" ht="15" hidden="false" customHeight="false" outlineLevel="0" collapsed="false">
      <c r="A9" s="3" t="n">
        <v>6</v>
      </c>
      <c r="B9" s="3" t="s">
        <v>24</v>
      </c>
      <c r="C9" s="3" t="s">
        <v>27</v>
      </c>
      <c r="D9" s="3" t="n">
        <v>460</v>
      </c>
      <c r="E9" s="3" t="n">
        <v>2</v>
      </c>
      <c r="F9" s="8" t="n">
        <f aca="false">E9*D9</f>
        <v>920</v>
      </c>
    </row>
    <row r="10" customFormat="false" ht="15" hidden="false" customHeight="false" outlineLevel="0" collapsed="false">
      <c r="A10" s="3" t="n">
        <v>7</v>
      </c>
      <c r="B10" s="3" t="s">
        <v>24</v>
      </c>
      <c r="C10" s="3" t="s">
        <v>26</v>
      </c>
      <c r="D10" s="3" t="n">
        <v>430</v>
      </c>
      <c r="E10" s="3" t="n">
        <v>1</v>
      </c>
      <c r="F10" s="8" t="n">
        <f aca="false">E10*D10</f>
        <v>430</v>
      </c>
    </row>
    <row r="11" customFormat="false" ht="15" hidden="false" customHeight="false" outlineLevel="0" collapsed="false">
      <c r="A11" s="3" t="n">
        <v>8</v>
      </c>
      <c r="B11" s="3" t="s">
        <v>24</v>
      </c>
      <c r="C11" s="3" t="s">
        <v>29</v>
      </c>
      <c r="D11" s="3" t="n">
        <v>427</v>
      </c>
      <c r="E11" s="3" t="n">
        <v>1</v>
      </c>
      <c r="F11" s="8" t="n">
        <f aca="false">E11*D11</f>
        <v>427</v>
      </c>
    </row>
    <row r="12" customFormat="false" ht="15" hidden="false" customHeight="false" outlineLevel="0" collapsed="false">
      <c r="A12" s="3" t="n">
        <v>9</v>
      </c>
      <c r="B12" s="3" t="s">
        <v>24</v>
      </c>
      <c r="C12" s="3" t="s">
        <v>29</v>
      </c>
      <c r="D12" s="3" t="n">
        <v>365</v>
      </c>
      <c r="E12" s="3" t="n">
        <v>1</v>
      </c>
      <c r="F12" s="8" t="n">
        <f aca="false">E12*D12</f>
        <v>365</v>
      </c>
    </row>
    <row r="13" customFormat="false" ht="15" hidden="false" customHeight="false" outlineLevel="0" collapsed="false">
      <c r="A13" s="0" t="n">
        <v>10</v>
      </c>
      <c r="B13" s="3" t="s">
        <v>24</v>
      </c>
      <c r="C13" s="3" t="s">
        <v>54</v>
      </c>
      <c r="D13" s="3" t="n">
        <v>400</v>
      </c>
      <c r="E13" s="3" t="n">
        <v>3</v>
      </c>
      <c r="F13" s="8" t="n">
        <f aca="false">E13*D13</f>
        <v>1200</v>
      </c>
    </row>
    <row r="14" customFormat="false" ht="15" hidden="false" customHeight="false" outlineLevel="0" collapsed="false">
      <c r="E14" s="3" t="n">
        <f aca="false">SUM(E4:E13)</f>
        <v>21</v>
      </c>
    </row>
    <row r="15" customFormat="false" ht="19.7" hidden="false" customHeight="false" outlineLevel="0" collapsed="false">
      <c r="A15" s="7" t="s">
        <v>142</v>
      </c>
    </row>
    <row r="16" customFormat="false" ht="15" hidden="false" customHeight="false" outlineLevel="0" collapsed="false">
      <c r="H16" s="10" t="s">
        <v>143</v>
      </c>
      <c r="I16" s="10"/>
      <c r="J16" s="10"/>
      <c r="K16" s="10"/>
      <c r="L16" s="10"/>
      <c r="M16" s="10"/>
      <c r="N16" s="10"/>
      <c r="O16" s="10"/>
      <c r="P16" s="10"/>
      <c r="Q16" s="11"/>
    </row>
    <row r="17" customFormat="false" ht="15" hidden="false" customHeight="false" outlineLevel="0" collapsed="false">
      <c r="A17" s="2" t="s">
        <v>144</v>
      </c>
      <c r="B17" s="2" t="s">
        <v>3</v>
      </c>
      <c r="C17" s="2" t="s">
        <v>145</v>
      </c>
      <c r="D17" s="2" t="s">
        <v>146</v>
      </c>
      <c r="E17" s="2" t="s">
        <v>137</v>
      </c>
      <c r="F17" s="2" t="s">
        <v>147</v>
      </c>
      <c r="G17" s="2" t="s">
        <v>148</v>
      </c>
      <c r="H17" s="2" t="n">
        <v>1</v>
      </c>
      <c r="I17" s="2" t="n">
        <v>2</v>
      </c>
      <c r="J17" s="2" t="n">
        <v>3</v>
      </c>
      <c r="K17" s="2" t="n">
        <v>4</v>
      </c>
      <c r="L17" s="2" t="n">
        <v>5</v>
      </c>
      <c r="M17" s="2" t="n">
        <v>6</v>
      </c>
      <c r="N17" s="2" t="n">
        <v>7</v>
      </c>
      <c r="O17" s="2" t="n">
        <v>8</v>
      </c>
      <c r="P17" s="2" t="n">
        <v>9</v>
      </c>
      <c r="Q17" s="11"/>
    </row>
    <row r="18" customFormat="false" ht="15" hidden="false" customHeight="false" outlineLevel="0" collapsed="false">
      <c r="A18" s="3" t="s">
        <v>149</v>
      </c>
      <c r="B18" s="3" t="s">
        <v>13</v>
      </c>
      <c r="C18" s="3" t="n">
        <v>1500</v>
      </c>
      <c r="D18" s="3" t="n">
        <v>2</v>
      </c>
      <c r="E18" s="8" t="n">
        <f aca="false">D18*C18</f>
        <v>3000</v>
      </c>
      <c r="F18" s="8" t="n">
        <f aca="false">E18-(H18*H$28+I18*I$28+J18*J$28+K18*K$28+L18*L$28+M18*M$28+N18*N$28+O18*O$28+P18*P$28)</f>
        <v>430</v>
      </c>
      <c r="G18" s="3" t="s">
        <v>150</v>
      </c>
      <c r="H18" s="3" t="n">
        <v>3</v>
      </c>
      <c r="I18" s="3" t="n">
        <v>2</v>
      </c>
    </row>
    <row r="19" customFormat="false" ht="15" hidden="false" customHeight="false" outlineLevel="0" collapsed="false">
      <c r="A19" s="3" t="s">
        <v>151</v>
      </c>
      <c r="B19" s="3" t="s">
        <v>24</v>
      </c>
      <c r="C19" s="3" t="n">
        <v>920</v>
      </c>
      <c r="D19" s="3" t="n">
        <v>1</v>
      </c>
      <c r="E19" s="8" t="n">
        <f aca="false">D19*C19</f>
        <v>920</v>
      </c>
      <c r="F19" s="8" t="n">
        <f aca="false">E19-(H19*H$28+I19*I$28+J19*J$28+K19*K$28+L19*L$28+M19*M$28+N19*N$28+O19*O$28+P19*P$28)</f>
        <v>0</v>
      </c>
      <c r="G19" s="3" t="s">
        <v>150</v>
      </c>
      <c r="K19" s="3" t="n">
        <v>2</v>
      </c>
    </row>
    <row r="20" customFormat="false" ht="15" hidden="false" customHeight="false" outlineLevel="0" collapsed="false">
      <c r="A20" s="3" t="s">
        <v>152</v>
      </c>
      <c r="B20" s="3" t="s">
        <v>24</v>
      </c>
      <c r="C20" s="3" t="n">
        <v>1000</v>
      </c>
      <c r="D20" s="3" t="n">
        <v>1</v>
      </c>
      <c r="E20" s="8" t="n">
        <f aca="false">D20*C20</f>
        <v>1000</v>
      </c>
      <c r="F20" s="8" t="n">
        <f aca="false">E20-(H20*H$28+I20*I$28+J20*J$28+K20*K$28+L20*L$28+M20*M$28+N20*N$28+O20*O$28+P20*P$28)</f>
        <v>80</v>
      </c>
      <c r="G20" s="3" t="s">
        <v>150</v>
      </c>
      <c r="K20" s="3" t="n">
        <v>2</v>
      </c>
    </row>
    <row r="21" customFormat="false" ht="15" hidden="false" customHeight="false" outlineLevel="0" collapsed="false">
      <c r="A21" s="3" t="s">
        <v>153</v>
      </c>
      <c r="B21" s="3" t="s">
        <v>24</v>
      </c>
      <c r="C21" s="3" t="n">
        <v>1360</v>
      </c>
      <c r="D21" s="3" t="n">
        <v>2</v>
      </c>
      <c r="E21" s="8" t="n">
        <f aca="false">D21*C21</f>
        <v>2720</v>
      </c>
      <c r="F21" s="8" t="n">
        <f aca="false">E21-(H21*H$28+I21*I$28+J21*J$28+K21*K$28+L21*L$28+M21*M$28+N21*N$28+O21*O$28+P21*P$28)</f>
        <v>228</v>
      </c>
      <c r="G21" s="3" t="s">
        <v>150</v>
      </c>
      <c r="L21" s="3" t="n">
        <v>1</v>
      </c>
      <c r="N21" s="3" t="n">
        <v>1</v>
      </c>
      <c r="O21" s="3" t="n">
        <v>1</v>
      </c>
      <c r="P21" s="3" t="n">
        <v>3</v>
      </c>
    </row>
    <row r="22" customFormat="false" ht="15.75" hidden="false" customHeight="true" outlineLevel="0" collapsed="false">
      <c r="A22" s="3" t="s">
        <v>154</v>
      </c>
      <c r="B22" s="3" t="s">
        <v>24</v>
      </c>
      <c r="C22" s="3" t="n">
        <v>1500</v>
      </c>
      <c r="D22" s="3" t="n">
        <v>2</v>
      </c>
      <c r="E22" s="8" t="n">
        <f aca="false">D22*C22</f>
        <v>3000</v>
      </c>
      <c r="F22" s="8" t="n">
        <f aca="false">E22-(H22*H$28+I22*I$28+J22*J$28+K22*K$28+L22*L$28+M22*M$28+N22*N$28+O22*O$28+P22*P$28)</f>
        <v>540</v>
      </c>
      <c r="G22" s="3" t="s">
        <v>155</v>
      </c>
      <c r="J22" s="3" t="n">
        <v>1</v>
      </c>
      <c r="M22" s="3" t="n">
        <v>4</v>
      </c>
    </row>
    <row r="23" customFormat="false" ht="15.75" hidden="false" customHeight="true" outlineLevel="0" collapsed="false">
      <c r="A23" s="3" t="s">
        <v>156</v>
      </c>
      <c r="B23" s="3" t="s">
        <v>13</v>
      </c>
      <c r="C23" s="3" t="n">
        <v>280</v>
      </c>
      <c r="D23" s="3" t="n">
        <v>6</v>
      </c>
      <c r="E23" s="8" t="n">
        <f aca="false">D23*C23</f>
        <v>1680</v>
      </c>
      <c r="F23" s="8" t="n">
        <f aca="false">E23-(H23*H$28+I23*I$28+J23*J$28+K23*K$28+L23*L$28+M23*M$28+N23*N$28+O23*O$28+P23*P$28)</f>
        <v>1680</v>
      </c>
      <c r="G23" s="3" t="s">
        <v>150</v>
      </c>
    </row>
    <row r="24" customFormat="false" ht="15.75" hidden="false" customHeight="true" outlineLevel="0" collapsed="false">
      <c r="A24" s="3" t="s">
        <v>157</v>
      </c>
      <c r="B24" s="3" t="s">
        <v>24</v>
      </c>
      <c r="C24" s="3" t="n">
        <v>320</v>
      </c>
      <c r="D24" s="3" t="n">
        <v>1</v>
      </c>
      <c r="E24" s="8" t="n">
        <f aca="false">D24*C24</f>
        <v>320</v>
      </c>
      <c r="F24" s="8" t="n">
        <f aca="false">E24-(H24*H$28+I24*I$28+J24*J$28+K24*K$28+L24*L$28+M24*M$28+N24*N$28+O24*O$28+P24*P$28)</f>
        <v>320</v>
      </c>
      <c r="G24" s="3" t="s">
        <v>150</v>
      </c>
    </row>
    <row r="25" customFormat="false" ht="15.75" hidden="false" customHeight="true" outlineLevel="0" collapsed="false">
      <c r="A25" s="3" t="s">
        <v>158</v>
      </c>
      <c r="B25" s="3" t="s">
        <v>24</v>
      </c>
      <c r="C25" s="3" t="n">
        <v>250</v>
      </c>
      <c r="D25" s="3" t="n">
        <v>4</v>
      </c>
      <c r="E25" s="8" t="n">
        <f aca="false">D25*C25</f>
        <v>1000</v>
      </c>
      <c r="F25" s="8" t="n">
        <f aca="false">E25-(H25*H$28+I25*I$28+J25*J$28+K25*K$28+L25*L$28+M25*M$28+N25*N$28+O25*O$28+P25*P$28)</f>
        <v>1000</v>
      </c>
      <c r="G25" s="3" t="s">
        <v>150</v>
      </c>
    </row>
    <row r="26" customFormat="false" ht="15.75" hidden="false" customHeight="true" outlineLevel="0" collapsed="false">
      <c r="E26" s="8"/>
    </row>
    <row r="27" customFormat="false" ht="15.75" hidden="false" customHeight="true" outlineLevel="0" collapsed="false">
      <c r="E27" s="8"/>
      <c r="G27" s="3" t="s">
        <v>159</v>
      </c>
      <c r="H27" s="3" t="n">
        <f aca="false">SUM(H18:H25)</f>
        <v>3</v>
      </c>
      <c r="I27" s="3" t="n">
        <f aca="false">SUM(I18:I25)</f>
        <v>2</v>
      </c>
      <c r="J27" s="3" t="n">
        <f aca="false">SUM(J18:J25)</f>
        <v>1</v>
      </c>
      <c r="K27" s="3" t="n">
        <f aca="false">SUM(K18:K25)</f>
        <v>4</v>
      </c>
      <c r="L27" s="3" t="n">
        <f aca="false">SUM(L18:L25)</f>
        <v>1</v>
      </c>
      <c r="M27" s="3" t="n">
        <f aca="false">SUM(M18:M25)</f>
        <v>4</v>
      </c>
      <c r="N27" s="3" t="n">
        <f aca="false">SUM(N18:N25)</f>
        <v>1</v>
      </c>
      <c r="O27" s="3" t="n">
        <f aca="false">SUM(O18:O25)</f>
        <v>1</v>
      </c>
      <c r="P27" s="3" t="n">
        <f aca="false">SUM(P18:P25)</f>
        <v>3</v>
      </c>
      <c r="Q27" s="3" t="n">
        <f aca="false">SUM(H27:P27)</f>
        <v>20</v>
      </c>
    </row>
    <row r="28" customFormat="false" ht="15.75" hidden="false" customHeight="true" outlineLevel="0" collapsed="false">
      <c r="G28" s="3" t="s">
        <v>160</v>
      </c>
      <c r="H28" s="8" t="n">
        <f aca="false">$D$4</f>
        <v>550</v>
      </c>
      <c r="I28" s="8" t="n">
        <f aca="false">$D$6</f>
        <v>460</v>
      </c>
      <c r="J28" s="8" t="n">
        <f aca="false">$D$7</f>
        <v>460</v>
      </c>
      <c r="K28" s="8" t="n">
        <f aca="false">+$D$9</f>
        <v>460</v>
      </c>
      <c r="L28" s="8" t="n">
        <f aca="false">+$D$5</f>
        <v>500</v>
      </c>
      <c r="M28" s="8" t="n">
        <f aca="false">+$D$5</f>
        <v>500</v>
      </c>
      <c r="N28" s="8" t="n">
        <f aca="false">+$D$11</f>
        <v>427</v>
      </c>
      <c r="O28" s="8" t="n">
        <f aca="false">+$D$12</f>
        <v>365</v>
      </c>
      <c r="P28" s="8" t="n">
        <f aca="false">+$D$13</f>
        <v>400</v>
      </c>
      <c r="Q28" s="8"/>
    </row>
    <row r="29" customFormat="false" ht="15.75" hidden="false" customHeight="true" outlineLevel="0" collapsed="false">
      <c r="G29" s="3" t="s">
        <v>161</v>
      </c>
      <c r="H29" s="8" t="n">
        <f aca="false">H28*H27</f>
        <v>1650</v>
      </c>
      <c r="I29" s="8" t="n">
        <f aca="false">I28*I27</f>
        <v>920</v>
      </c>
      <c r="J29" s="8" t="n">
        <f aca="false">J28*J27</f>
        <v>460</v>
      </c>
      <c r="K29" s="8" t="n">
        <f aca="false">K28*K27</f>
        <v>1840</v>
      </c>
      <c r="L29" s="8" t="n">
        <f aca="false">L28*L27</f>
        <v>500</v>
      </c>
      <c r="M29" s="8" t="n">
        <f aca="false">M28*M27</f>
        <v>2000</v>
      </c>
      <c r="N29" s="8" t="n">
        <f aca="false">N28*N27</f>
        <v>427</v>
      </c>
      <c r="O29" s="8" t="n">
        <f aca="false">O28*O27</f>
        <v>365</v>
      </c>
      <c r="P29" s="8" t="n">
        <f aca="false">P28*P27</f>
        <v>1200</v>
      </c>
      <c r="Q29" s="8"/>
    </row>
    <row r="30" customFormat="false" ht="15.75" hidden="false" customHeight="true" outlineLevel="0" collapsed="false">
      <c r="G30" s="3" t="s">
        <v>162</v>
      </c>
      <c r="H30" s="8" t="n">
        <f aca="false">+$F$4</f>
        <v>2200</v>
      </c>
      <c r="I30" s="8" t="n">
        <f aca="false">+$F$6</f>
        <v>920</v>
      </c>
      <c r="J30" s="8" t="n">
        <f aca="false">+$F$7</f>
        <v>920</v>
      </c>
      <c r="K30" s="8" t="n">
        <f aca="false">+$F$9</f>
        <v>920</v>
      </c>
      <c r="L30" s="8" t="n">
        <f aca="false">+$F$5</f>
        <v>2000</v>
      </c>
      <c r="M30" s="8" t="n">
        <f aca="false">+$F$5</f>
        <v>2000</v>
      </c>
      <c r="N30" s="8" t="n">
        <f aca="false">+$F$11</f>
        <v>427</v>
      </c>
      <c r="O30" s="8" t="n">
        <f aca="false">+$F$12</f>
        <v>365</v>
      </c>
      <c r="P30" s="8" t="n">
        <f aca="false">+$F$13</f>
        <v>1200</v>
      </c>
      <c r="Q30" s="8"/>
    </row>
    <row r="31" customFormat="false" ht="15.75" hidden="false" customHeight="true" outlineLevel="0" collapsed="false">
      <c r="H31" s="8"/>
      <c r="I31" s="8"/>
      <c r="J31" s="8"/>
      <c r="K31" s="8"/>
      <c r="L31" s="8"/>
      <c r="M31" s="8"/>
      <c r="N31" s="8"/>
      <c r="O31" s="8"/>
      <c r="P31" s="8"/>
      <c r="Q31" s="8"/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mergeCells count="1">
    <mergeCell ref="H16:P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2025-07-14T07:53:58Z</dcterms:created>
  <dc:creator/>
  <dc:description/>
  <dc:language>en-AU</dc:language>
  <cp:lastModifiedBy/>
  <dcterms:modified xsi:type="dcterms:W3CDTF">2025-08-23T16:13:41Z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